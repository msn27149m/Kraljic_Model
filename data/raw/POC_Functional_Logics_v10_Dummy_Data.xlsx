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/>
  <mc:AlternateContent xmlns:mc="http://schemas.openxmlformats.org/markup-compatibility/2006">
    <mc:Choice Requires="x15">
      <x15ac:absPath xmlns:x15ac="http://schemas.microsoft.com/office/spreadsheetml/2010/11/ac" url="/Users/CC/Documents/work/Deloitte/GM/Cost_analysis/data/raw/"/>
    </mc:Choice>
  </mc:AlternateContent>
  <xr:revisionPtr revIDLastSave="0" documentId="13_ncr:1_{5F13A962-6931-1241-94F0-34DF42573935}" xr6:coauthVersionLast="45" xr6:coauthVersionMax="45" xr10:uidLastSave="{00000000-0000-0000-0000-000000000000}"/>
  <bookViews>
    <workbookView xWindow="0" yWindow="0" windowWidth="28800" windowHeight="18000" activeTab="4" xr2:uid="{00000000-000D-0000-FFFF-FFFF00000000}"/>
  </bookViews>
  <sheets>
    <sheet name="MG Strategy" sheetId="2" state="hidden" r:id="rId1"/>
    <sheet name="MG Strat - External Data Source" sheetId="6" state="hidden" r:id="rId2"/>
    <sheet name="Cost Analysis" sheetId="4" state="hidden" r:id="rId3"/>
    <sheet name="Negotiation Tool Box" sheetId="5" state="hidden" r:id="rId4"/>
    <sheet name="量增价跌Dummy Data" sheetId="7" r:id="rId5"/>
    <sheet name="Drop Down" sheetId="1" state="hidden" r:id="rId6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0" i="7" l="1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149" i="7"/>
  <c r="B149" i="7"/>
  <c r="C149" i="7" s="1"/>
  <c r="B150" i="7"/>
  <c r="C150" i="7" s="1"/>
  <c r="B151" i="7"/>
  <c r="C151" i="7" s="1"/>
  <c r="B152" i="7"/>
  <c r="C152" i="7" s="1"/>
  <c r="B153" i="7"/>
  <c r="C153" i="7" s="1"/>
  <c r="B154" i="7"/>
  <c r="C154" i="7" s="1"/>
  <c r="B155" i="7"/>
  <c r="C155" i="7" s="1"/>
  <c r="B156" i="7"/>
  <c r="C156" i="7" s="1"/>
  <c r="B157" i="7"/>
  <c r="C157" i="7" s="1"/>
  <c r="B158" i="7"/>
  <c r="C158" i="7" s="1"/>
  <c r="B159" i="7"/>
  <c r="C159" i="7" s="1"/>
  <c r="B160" i="7"/>
  <c r="C160" i="7" s="1"/>
  <c r="B161" i="7"/>
  <c r="C161" i="7" s="1"/>
  <c r="B162" i="7"/>
  <c r="C162" i="7" s="1"/>
  <c r="B163" i="7"/>
  <c r="C163" i="7" s="1"/>
  <c r="B164" i="7"/>
  <c r="C164" i="7" s="1"/>
  <c r="B165" i="7"/>
  <c r="C165" i="7" s="1"/>
  <c r="B166" i="7"/>
  <c r="C166" i="7" s="1"/>
  <c r="B167" i="7"/>
  <c r="C167" i="7" s="1"/>
  <c r="B168" i="7"/>
  <c r="C168" i="7" s="1"/>
  <c r="B169" i="7"/>
  <c r="C169" i="7" s="1"/>
  <c r="B170" i="7"/>
  <c r="C170" i="7" s="1"/>
  <c r="B171" i="7"/>
  <c r="C171" i="7" s="1"/>
  <c r="B172" i="7"/>
  <c r="C172" i="7" s="1"/>
  <c r="B173" i="7"/>
  <c r="C173" i="7" s="1"/>
  <c r="B174" i="7"/>
  <c r="C174" i="7" s="1"/>
  <c r="B175" i="7"/>
  <c r="C175" i="7" s="1"/>
  <c r="B176" i="7"/>
  <c r="C176" i="7" s="1"/>
  <c r="B177" i="7"/>
  <c r="C177" i="7" s="1"/>
  <c r="B178" i="7"/>
  <c r="C178" i="7" s="1"/>
  <c r="B179" i="7"/>
  <c r="C179" i="7" s="1"/>
  <c r="B180" i="7"/>
  <c r="C180" i="7" s="1"/>
  <c r="B181" i="7"/>
  <c r="C181" i="7" s="1"/>
  <c r="B182" i="7"/>
  <c r="C182" i="7" s="1"/>
  <c r="B183" i="7"/>
  <c r="C183" i="7" s="1"/>
  <c r="B184" i="7"/>
  <c r="C184" i="7" s="1"/>
  <c r="B185" i="7"/>
  <c r="C185" i="7" s="1"/>
  <c r="B186" i="7"/>
  <c r="C186" i="7" s="1"/>
  <c r="B187" i="7"/>
  <c r="C187" i="7" s="1"/>
  <c r="B188" i="7"/>
  <c r="C188" i="7" s="1"/>
  <c r="B189" i="7"/>
  <c r="C189" i="7" s="1"/>
  <c r="B190" i="7"/>
  <c r="C190" i="7" s="1"/>
  <c r="B191" i="7"/>
  <c r="C191" i="7" s="1"/>
  <c r="B192" i="7"/>
  <c r="C192" i="7" s="1"/>
  <c r="B193" i="7"/>
  <c r="C193" i="7" s="1"/>
  <c r="B194" i="7"/>
  <c r="C194" i="7" s="1"/>
  <c r="B195" i="7"/>
  <c r="C195" i="7" s="1"/>
  <c r="B196" i="7"/>
  <c r="C196" i="7" s="1"/>
  <c r="B197" i="7"/>
  <c r="C197" i="7" s="1"/>
  <c r="B198" i="7"/>
  <c r="C198" i="7" s="1"/>
  <c r="B199" i="7"/>
  <c r="C199" i="7" s="1"/>
  <c r="B200" i="7"/>
  <c r="C200" i="7" s="1"/>
  <c r="B201" i="7"/>
  <c r="C201" i="7" s="1"/>
  <c r="B202" i="7"/>
  <c r="C202" i="7" s="1"/>
  <c r="B203" i="7"/>
  <c r="C203" i="7" s="1"/>
  <c r="B204" i="7"/>
  <c r="C204" i="7" s="1"/>
  <c r="B205" i="7"/>
  <c r="C205" i="7" s="1"/>
  <c r="B206" i="7"/>
  <c r="C206" i="7" s="1"/>
  <c r="B207" i="7"/>
  <c r="C207" i="7" s="1"/>
  <c r="B208" i="7"/>
  <c r="C208" i="7" s="1"/>
  <c r="B209" i="7"/>
  <c r="C209" i="7" s="1"/>
  <c r="B210" i="7"/>
  <c r="C210" i="7" s="1"/>
  <c r="B211" i="7"/>
  <c r="C211" i="7" s="1"/>
  <c r="B212" i="7"/>
  <c r="C212" i="7" s="1"/>
  <c r="B213" i="7"/>
  <c r="C213" i="7" s="1"/>
  <c r="B214" i="7"/>
  <c r="C214" i="7" s="1"/>
  <c r="B215" i="7"/>
  <c r="C215" i="7" s="1"/>
  <c r="B216" i="7"/>
  <c r="C216" i="7" s="1"/>
  <c r="B217" i="7"/>
  <c r="C217" i="7" s="1"/>
  <c r="B218" i="7"/>
  <c r="C218" i="7" s="1"/>
  <c r="B219" i="7"/>
  <c r="C219" i="7" s="1"/>
  <c r="B220" i="7"/>
  <c r="C220" i="7" s="1"/>
  <c r="B221" i="7"/>
  <c r="C221" i="7" s="1"/>
  <c r="B222" i="7"/>
  <c r="C222" i="7" s="1"/>
  <c r="B223" i="7"/>
  <c r="C223" i="7" s="1"/>
  <c r="B224" i="7"/>
  <c r="C224" i="7" s="1"/>
  <c r="B225" i="7"/>
  <c r="C225" i="7" s="1"/>
  <c r="B226" i="7"/>
  <c r="C226" i="7" s="1"/>
  <c r="B227" i="7"/>
  <c r="C227" i="7" s="1"/>
  <c r="B228" i="7"/>
  <c r="C228" i="7" s="1"/>
  <c r="B229" i="7"/>
  <c r="C229" i="7" s="1"/>
  <c r="B230" i="7"/>
  <c r="C230" i="7" s="1"/>
  <c r="B231" i="7"/>
  <c r="C231" i="7" s="1"/>
  <c r="B232" i="7"/>
  <c r="C232" i="7" s="1"/>
  <c r="B233" i="7"/>
  <c r="C233" i="7" s="1"/>
  <c r="B234" i="7"/>
  <c r="C234" i="7" s="1"/>
  <c r="B235" i="7"/>
  <c r="C235" i="7" s="1"/>
  <c r="B236" i="7"/>
  <c r="C236" i="7" s="1"/>
  <c r="B237" i="7"/>
  <c r="C237" i="7" s="1"/>
  <c r="B238" i="7"/>
  <c r="C238" i="7" s="1"/>
  <c r="B239" i="7"/>
  <c r="C239" i="7" s="1"/>
  <c r="B240" i="7"/>
  <c r="C240" i="7" s="1"/>
  <c r="B241" i="7"/>
  <c r="C241" i="7" s="1"/>
  <c r="B242" i="7"/>
  <c r="C242" i="7" s="1"/>
  <c r="B243" i="7"/>
  <c r="C243" i="7" s="1"/>
  <c r="B244" i="7"/>
  <c r="C244" i="7" s="1"/>
  <c r="B245" i="7"/>
  <c r="C245" i="7" s="1"/>
  <c r="B246" i="7"/>
  <c r="C246" i="7" s="1"/>
  <c r="B247" i="7"/>
  <c r="C247" i="7" s="1"/>
  <c r="B248" i="7"/>
  <c r="C248" i="7" s="1"/>
  <c r="B249" i="7"/>
  <c r="C249" i="7" s="1"/>
  <c r="B250" i="7"/>
  <c r="C250" i="7" s="1"/>
  <c r="B251" i="7"/>
  <c r="C251" i="7" s="1"/>
  <c r="B252" i="7"/>
  <c r="C252" i="7" s="1"/>
  <c r="B253" i="7"/>
  <c r="C253" i="7" s="1"/>
  <c r="B254" i="7"/>
  <c r="C254" i="7" s="1"/>
  <c r="B255" i="7"/>
  <c r="C255" i="7" s="1"/>
  <c r="B256" i="7"/>
  <c r="C256" i="7" s="1"/>
  <c r="B257" i="7"/>
  <c r="C257" i="7" s="1"/>
  <c r="B258" i="7"/>
  <c r="C258" i="7" s="1"/>
  <c r="B259" i="7"/>
  <c r="C259" i="7" s="1"/>
  <c r="B260" i="7"/>
  <c r="C260" i="7" s="1"/>
  <c r="B261" i="7"/>
  <c r="C261" i="7" s="1"/>
  <c r="B262" i="7"/>
  <c r="C262" i="7" s="1"/>
  <c r="B263" i="7"/>
  <c r="C263" i="7" s="1"/>
  <c r="B264" i="7"/>
  <c r="C264" i="7" s="1"/>
  <c r="B265" i="7"/>
  <c r="C265" i="7" s="1"/>
  <c r="B266" i="7"/>
  <c r="C266" i="7" s="1"/>
  <c r="B267" i="7"/>
  <c r="C267" i="7" s="1"/>
  <c r="B268" i="7"/>
  <c r="C268" i="7" s="1"/>
  <c r="B269" i="7"/>
  <c r="C269" i="7" s="1"/>
  <c r="B270" i="7"/>
  <c r="C270" i="7" s="1"/>
  <c r="B271" i="7"/>
  <c r="C271" i="7" s="1"/>
  <c r="B272" i="7"/>
  <c r="C272" i="7" s="1"/>
  <c r="B273" i="7"/>
  <c r="C273" i="7" s="1"/>
  <c r="B274" i="7"/>
  <c r="C274" i="7" s="1"/>
  <c r="B275" i="7"/>
  <c r="C275" i="7" s="1"/>
  <c r="B276" i="7"/>
  <c r="C276" i="7" s="1"/>
  <c r="B277" i="7"/>
  <c r="C277" i="7" s="1"/>
  <c r="B278" i="7"/>
  <c r="C278" i="7" s="1"/>
  <c r="B279" i="7"/>
  <c r="C279" i="7" s="1"/>
  <c r="B280" i="7"/>
  <c r="C280" i="7" s="1"/>
  <c r="B281" i="7"/>
  <c r="C281" i="7" s="1"/>
  <c r="B282" i="7"/>
  <c r="C282" i="7" s="1"/>
  <c r="B283" i="7"/>
  <c r="C283" i="7" s="1"/>
  <c r="B284" i="7"/>
  <c r="C284" i="7" s="1"/>
  <c r="B285" i="7"/>
  <c r="C285" i="7" s="1"/>
  <c r="B286" i="7"/>
  <c r="C286" i="7" s="1"/>
  <c r="B287" i="7"/>
  <c r="C287" i="7" s="1"/>
  <c r="B288" i="7"/>
  <c r="C288" i="7" s="1"/>
  <c r="B289" i="7"/>
  <c r="C289" i="7" s="1"/>
  <c r="B290" i="7"/>
  <c r="C290" i="7" s="1"/>
  <c r="B291" i="7"/>
  <c r="C291" i="7" s="1"/>
  <c r="B292" i="7"/>
  <c r="C292" i="7" s="1"/>
  <c r="B293" i="7"/>
  <c r="C293" i="7" s="1"/>
  <c r="B294" i="7"/>
  <c r="C294" i="7" s="1"/>
  <c r="B295" i="7"/>
  <c r="C295" i="7" s="1"/>
  <c r="B296" i="7"/>
  <c r="C296" i="7" s="1"/>
  <c r="B297" i="7"/>
  <c r="C297" i="7" s="1"/>
  <c r="B298" i="7"/>
  <c r="C298" i="7" s="1"/>
  <c r="B299" i="7"/>
  <c r="C299" i="7" s="1"/>
  <c r="B300" i="7"/>
  <c r="C300" i="7" s="1"/>
  <c r="B301" i="7"/>
  <c r="C301" i="7" s="1"/>
  <c r="B302" i="7"/>
  <c r="C302" i="7" s="1"/>
  <c r="B303" i="7"/>
  <c r="C303" i="7" s="1"/>
  <c r="B304" i="7"/>
  <c r="C304" i="7" s="1"/>
  <c r="B305" i="7"/>
  <c r="C305" i="7" s="1"/>
  <c r="B306" i="7"/>
  <c r="C306" i="7" s="1"/>
  <c r="B307" i="7"/>
  <c r="C307" i="7" s="1"/>
  <c r="B308" i="7"/>
  <c r="C308" i="7" s="1"/>
  <c r="B309" i="7"/>
  <c r="C309" i="7" s="1"/>
  <c r="B310" i="7"/>
  <c r="C310" i="7" s="1"/>
  <c r="B311" i="7"/>
  <c r="C311" i="7" s="1"/>
  <c r="B312" i="7"/>
  <c r="C312" i="7" s="1"/>
  <c r="B313" i="7"/>
  <c r="C313" i="7" s="1"/>
  <c r="B314" i="7"/>
  <c r="C314" i="7" s="1"/>
  <c r="B315" i="7"/>
  <c r="C315" i="7" s="1"/>
  <c r="B316" i="7"/>
  <c r="C316" i="7" s="1"/>
  <c r="B317" i="7"/>
  <c r="C317" i="7" s="1"/>
  <c r="B318" i="7"/>
  <c r="C318" i="7" s="1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149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D99" i="7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C99" i="7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B99" i="7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A98" i="7"/>
  <c r="D50" i="7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C50" i="7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B50" i="7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49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A3" i="7"/>
  <c r="A2" i="7"/>
  <c r="B72" i="5" l="1"/>
  <c r="B73" i="5"/>
  <c r="C73" i="5"/>
  <c r="D73" i="5"/>
  <c r="D74" i="5" s="1"/>
  <c r="D75" i="5" s="1"/>
  <c r="D76" i="5" s="1"/>
  <c r="D77" i="5" s="1"/>
  <c r="B74" i="5"/>
  <c r="C74" i="5"/>
  <c r="C75" i="5" s="1"/>
  <c r="C76" i="5" s="1"/>
  <c r="C77" i="5" s="1"/>
  <c r="B75" i="5"/>
  <c r="B76" i="5"/>
  <c r="B77" i="5"/>
  <c r="B78" i="5"/>
  <c r="B79" i="5"/>
  <c r="C79" i="5"/>
  <c r="C80" i="5" s="1"/>
  <c r="C81" i="5" s="1"/>
  <c r="C82" i="5" s="1"/>
  <c r="C83" i="5" s="1"/>
  <c r="D79" i="5"/>
  <c r="D80" i="5" s="1"/>
  <c r="D81" i="5" s="1"/>
  <c r="D82" i="5" s="1"/>
  <c r="D83" i="5" s="1"/>
  <c r="B80" i="5"/>
  <c r="B81" i="5"/>
  <c r="B82" i="5"/>
  <c r="B83" i="5"/>
  <c r="B84" i="5"/>
  <c r="B62" i="5"/>
  <c r="B63" i="5"/>
  <c r="C63" i="5"/>
  <c r="C64" i="5" s="1"/>
  <c r="C65" i="5" s="1"/>
  <c r="C66" i="5" s="1"/>
  <c r="C67" i="5" s="1"/>
  <c r="D63" i="5"/>
  <c r="D64" i="5" s="1"/>
  <c r="D65" i="5" s="1"/>
  <c r="D66" i="5" s="1"/>
  <c r="D67" i="5" s="1"/>
  <c r="B64" i="5"/>
  <c r="B65" i="5"/>
  <c r="B66" i="5"/>
  <c r="B67" i="5"/>
  <c r="B68" i="5"/>
  <c r="B69" i="5"/>
  <c r="C69" i="5"/>
  <c r="C70" i="5" s="1"/>
  <c r="C71" i="5" s="1"/>
  <c r="D69" i="5"/>
  <c r="D70" i="5" s="1"/>
  <c r="D71" i="5" s="1"/>
  <c r="B70" i="5"/>
  <c r="B71" i="5"/>
  <c r="B61" i="5"/>
  <c r="B60" i="5"/>
  <c r="B59" i="5"/>
  <c r="B58" i="5"/>
  <c r="D57" i="5"/>
  <c r="D58" i="5" s="1"/>
  <c r="D59" i="5" s="1"/>
  <c r="D60" i="5" s="1"/>
  <c r="D61" i="5" s="1"/>
  <c r="C57" i="5"/>
  <c r="C58" i="5" s="1"/>
  <c r="C59" i="5" s="1"/>
  <c r="C60" i="5" s="1"/>
  <c r="C61" i="5" s="1"/>
  <c r="B57" i="5"/>
  <c r="B56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29" i="5"/>
  <c r="D31" i="5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30" i="5"/>
  <c r="C30" i="5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L52" i="4" l="1"/>
  <c r="M52" i="4"/>
  <c r="K52" i="4"/>
  <c r="D45" i="4"/>
  <c r="D37" i="4"/>
  <c r="D26" i="4"/>
  <c r="M22" i="4"/>
  <c r="M23" i="4"/>
  <c r="M24" i="4"/>
  <c r="M25" i="4"/>
  <c r="M27" i="4"/>
  <c r="M28" i="4"/>
  <c r="M29" i="4"/>
  <c r="M30" i="4"/>
  <c r="M31" i="4"/>
  <c r="M32" i="4"/>
  <c r="M33" i="4"/>
  <c r="M34" i="4"/>
  <c r="M35" i="4"/>
  <c r="M36" i="4"/>
  <c r="M38" i="4"/>
  <c r="M39" i="4"/>
  <c r="M40" i="4"/>
  <c r="M41" i="4"/>
  <c r="M42" i="4"/>
  <c r="M43" i="4"/>
  <c r="M44" i="4"/>
  <c r="M21" i="4"/>
  <c r="L45" i="4"/>
  <c r="M45" i="4" s="1"/>
  <c r="L37" i="4"/>
  <c r="M37" i="4" s="1"/>
  <c r="L26" i="4"/>
  <c r="J27" i="4"/>
  <c r="J28" i="4"/>
  <c r="J29" i="4"/>
  <c r="J30" i="4"/>
  <c r="J31" i="4"/>
  <c r="J32" i="4"/>
  <c r="J33" i="4"/>
  <c r="J34" i="4"/>
  <c r="J35" i="4"/>
  <c r="J36" i="4"/>
  <c r="J38" i="4"/>
  <c r="J39" i="4"/>
  <c r="J40" i="4"/>
  <c r="J41" i="4"/>
  <c r="J42" i="4"/>
  <c r="J43" i="4"/>
  <c r="J44" i="4"/>
  <c r="I46" i="4"/>
  <c r="J46" i="4" s="1"/>
  <c r="I45" i="4"/>
  <c r="I37" i="4"/>
  <c r="J37" i="4" s="1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8" i="4"/>
  <c r="G39" i="4"/>
  <c r="G40" i="4"/>
  <c r="G41" i="4"/>
  <c r="G42" i="4"/>
  <c r="G43" i="4"/>
  <c r="G44" i="4"/>
  <c r="G21" i="4"/>
  <c r="F45" i="4"/>
  <c r="F37" i="4"/>
  <c r="G37" i="4" s="1"/>
  <c r="F26" i="4"/>
  <c r="J22" i="4"/>
  <c r="J23" i="4"/>
  <c r="J24" i="4"/>
  <c r="J25" i="4"/>
  <c r="J26" i="4"/>
  <c r="J21" i="4"/>
  <c r="I26" i="4"/>
  <c r="H46" i="4"/>
  <c r="K45" i="4"/>
  <c r="H45" i="4"/>
  <c r="J45" i="4" s="1"/>
  <c r="E45" i="4"/>
  <c r="G45" i="4" s="1"/>
  <c r="K37" i="4"/>
  <c r="H37" i="4"/>
  <c r="E37" i="4"/>
  <c r="K26" i="4"/>
  <c r="K46" i="4" s="1"/>
  <c r="H26" i="4"/>
  <c r="E26" i="4"/>
  <c r="E46" i="4" s="1"/>
  <c r="M26" i="4" l="1"/>
  <c r="F46" i="4"/>
  <c r="G46" i="4" s="1"/>
  <c r="L46" i="4"/>
  <c r="M46" i="4" s="1"/>
  <c r="D46" i="4"/>
  <c r="M53" i="4"/>
  <c r="L53" i="4"/>
</calcChain>
</file>

<file path=xl/sharedStrings.xml><?xml version="1.0" encoding="utf-8"?>
<sst xmlns="http://schemas.openxmlformats.org/spreadsheetml/2006/main" count="707" uniqueCount="261">
  <si>
    <t>Material Group Categorization and Strategy Recommendation</t>
  </si>
  <si>
    <t>Supply Demand Situation</t>
  </si>
  <si>
    <t>Category Geographical Supply Market</t>
  </si>
  <si>
    <t>Supply Market Type</t>
  </si>
  <si>
    <t>Supply Market Trend or Dynamics</t>
  </si>
  <si>
    <t>Degree of Influenced by Regulations/Public Authorities</t>
  </si>
  <si>
    <t>Condition 1: Supply Market Complexity</t>
  </si>
  <si>
    <t>Condition 2: Business Impact</t>
  </si>
  <si>
    <t>Degree of Influence where constant supply impact end product/service delivery to end customers</t>
  </si>
  <si>
    <t>Degree of Influence where quality faliure impact to end customers</t>
  </si>
  <si>
    <t>Degree of dependency on innovation in general or from supply market in special</t>
  </si>
  <si>
    <t>Degree of Influence where innovations impact on financial return</t>
  </si>
  <si>
    <t>Degree of Impact on company's public image</t>
  </si>
  <si>
    <t>Supply Market Complexity Rating</t>
  </si>
  <si>
    <t>Business Impact Rating</t>
  </si>
  <si>
    <t>Strategy Recommendation</t>
  </si>
  <si>
    <t>Interior Purchasing - Holz/Aluminium/Lackierung/IMD/Wrapping
汽车内饰采购 - 木材/铝件/油漆/模内装饰/包装材料</t>
  </si>
  <si>
    <t>Low</t>
  </si>
  <si>
    <t>No influence</t>
  </si>
  <si>
    <t>Degree of Influence where quality failure impact to end customers</t>
  </si>
  <si>
    <t>No impact</t>
  </si>
  <si>
    <t>Medium</t>
  </si>
  <si>
    <t>Market penetration: use the competition on the market to reduce the prices to marginal costs</t>
  </si>
  <si>
    <t>Office supply</t>
  </si>
  <si>
    <t>Automation: reduce processes and internal costs as much as possible</t>
  </si>
  <si>
    <t>Transmission</t>
  </si>
  <si>
    <t>Category Examples</t>
  </si>
  <si>
    <t>High</t>
  </si>
  <si>
    <t>Win:Win: strategic partnership on a Win:Win basis</t>
  </si>
  <si>
    <t>Supply Market Complexity Positioning</t>
  </si>
  <si>
    <t>Business Impact Positioning</t>
  </si>
  <si>
    <t>Cost Analysis Tool Box and Tool Recommendation</t>
  </si>
  <si>
    <t>Cost Breakdown</t>
  </si>
  <si>
    <t>Material Costs</t>
  </si>
  <si>
    <t>Raw material</t>
  </si>
  <si>
    <t>Purchased componenets</t>
  </si>
  <si>
    <t>Defective (scrap)</t>
  </si>
  <si>
    <t>Labor</t>
  </si>
  <si>
    <t>Equipment</t>
  </si>
  <si>
    <t>Plant Burden</t>
  </si>
  <si>
    <t>SG&amp;A</t>
  </si>
  <si>
    <t>RD&amp;E</t>
  </si>
  <si>
    <t>Transportation</t>
  </si>
  <si>
    <t>Warranty</t>
  </si>
  <si>
    <t>Tags</t>
  </si>
  <si>
    <t>Production Costs</t>
  </si>
  <si>
    <t>Overhead Costs</t>
  </si>
  <si>
    <t>Alumnium</t>
  </si>
  <si>
    <t>Gasket</t>
  </si>
  <si>
    <t>Fasterners</t>
  </si>
  <si>
    <t>Scrap Cost</t>
  </si>
  <si>
    <t>Operator Cost</t>
  </si>
  <si>
    <t>Supervisor Cost</t>
  </si>
  <si>
    <t>Management Cost</t>
  </si>
  <si>
    <t>Equipment 1</t>
  </si>
  <si>
    <t>Equipment 2</t>
  </si>
  <si>
    <t>Equipment 3</t>
  </si>
  <si>
    <t>Indirect Labor Cost</t>
  </si>
  <si>
    <t>Utilities Cost</t>
  </si>
  <si>
    <t>Handling Cost</t>
  </si>
  <si>
    <t>Administrative Cost</t>
  </si>
  <si>
    <t>Product Design Cost</t>
  </si>
  <si>
    <t>Mold</t>
  </si>
  <si>
    <t>Mold 1</t>
  </si>
  <si>
    <t>Plant Lease</t>
  </si>
  <si>
    <t>Enginnering Cost</t>
  </si>
  <si>
    <t>Fule Cost</t>
  </si>
  <si>
    <t>Driver Labor Cost</t>
  </si>
  <si>
    <t>Warranty Cost</t>
  </si>
  <si>
    <t>Total Cost Per Unit</t>
  </si>
  <si>
    <t>Negotiation Tool Box and Tool Recommendation</t>
  </si>
  <si>
    <t>Negotiation Preparation = general preparation + supplier-specific prepration</t>
  </si>
  <si>
    <t>General preparation data source</t>
  </si>
  <si>
    <t>General details of supplier</t>
  </si>
  <si>
    <t>Supplier risk analysis</t>
  </si>
  <si>
    <t>Supplier SWOT analysis</t>
  </si>
  <si>
    <t>Supplier contractual situation</t>
  </si>
  <si>
    <t>Market / competition</t>
  </si>
  <si>
    <t>Specifications / subsitutes</t>
  </si>
  <si>
    <t>Supplier vision, strategy and goals</t>
  </si>
  <si>
    <t>Supplier contact person</t>
  </si>
  <si>
    <t>Historical cost structure analysis</t>
  </si>
  <si>
    <t>Supplier balance sheet status</t>
  </si>
  <si>
    <t>Internal strategy</t>
  </si>
  <si>
    <t>Negotiable aspects and scenarios (Historical)</t>
  </si>
  <si>
    <t>Supplier-specific preparation data source</t>
  </si>
  <si>
    <t>Supplier portfolio analysis</t>
  </si>
  <si>
    <t>Supplier performance</t>
  </si>
  <si>
    <t>Supplier negotiation strategy &amp; objectives</t>
  </si>
  <si>
    <t>Cost analysis</t>
  </si>
  <si>
    <t>Historical saving performance</t>
  </si>
  <si>
    <t>Historical VA/VE peformance</t>
  </si>
  <si>
    <t>Example 1</t>
  </si>
  <si>
    <t>Example 2</t>
  </si>
  <si>
    <t>Exmaple 3</t>
  </si>
  <si>
    <t>Negotiation Tactics Recommendation</t>
  </si>
  <si>
    <t>Product lifecycle plan</t>
  </si>
  <si>
    <t>木材</t>
  </si>
  <si>
    <t>Contract Optimization: core activity is to save the feasible conditions in cost transparency and contract situation as long as possible and minimize the risks.</t>
  </si>
  <si>
    <t>铝件</t>
  </si>
  <si>
    <t>Bundling: bundling of articles and categories in a manner that further strategic activities can be implemented</t>
  </si>
  <si>
    <t>油漆</t>
  </si>
  <si>
    <t>模内装饰</t>
  </si>
  <si>
    <t>Market expansion: activation of new supply markets to reduce complexity</t>
  </si>
  <si>
    <t>包装材料</t>
  </si>
  <si>
    <t>Specifications: changes in specification are necessary to reduce risks and complexity</t>
  </si>
  <si>
    <t>Tactics Detail</t>
  </si>
  <si>
    <t>Expected Effect</t>
  </si>
  <si>
    <t>Category</t>
  </si>
  <si>
    <t>Cost Characteristics</t>
  </si>
  <si>
    <t>Rationale</t>
  </si>
  <si>
    <t>Recommended Cost Analysis Tool</t>
  </si>
  <si>
    <t>Interior part 1</t>
  </si>
  <si>
    <t>Raw material cost is the main cost driver, accounted for 85% of total cost</t>
  </si>
  <si>
    <t>Raw material spot market price analysis</t>
  </si>
  <si>
    <t>Parts requires additional R&amp;D investment and complex manufacturing process</t>
  </si>
  <si>
    <t>Bottom up should cost analysis</t>
  </si>
  <si>
    <t>Supplier normally keep the price level unchanged while raw material price on spot market has decresed</t>
  </si>
  <si>
    <t>Achive cost transparency through investigate and estimate each cost factors</t>
  </si>
  <si>
    <t>Same product group has a huge number of product variations in specification</t>
  </si>
  <si>
    <t xml:space="preserve">Change in cost due to product variations can be identified through </t>
  </si>
  <si>
    <t>Linear/Multiple Regression Analysis</t>
  </si>
  <si>
    <t>High Supply Market Complexity</t>
  </si>
  <si>
    <t>Low effects in procurement value levers due to high market complexity, alternative analysis method can be used</t>
  </si>
  <si>
    <t>Supplier historical performance analysis</t>
  </si>
  <si>
    <t>Cost Breakdown Analysis and Recommendation</t>
  </si>
  <si>
    <t>Supplier A</t>
  </si>
  <si>
    <t>Round 1</t>
  </si>
  <si>
    <t>Round 2</t>
  </si>
  <si>
    <t>Recommendation</t>
  </si>
  <si>
    <t>Cost Analysis Result</t>
  </si>
  <si>
    <t>Should Cost Model for Interior Part 1</t>
  </si>
  <si>
    <t>Supplier B</t>
  </si>
  <si>
    <t>Supplier C</t>
  </si>
  <si>
    <t>Cost per unit</t>
  </si>
  <si>
    <t>Sub Total</t>
  </si>
  <si>
    <t>Change in %</t>
  </si>
  <si>
    <t>Holz</t>
  </si>
  <si>
    <t>Cost Breakdown Before Negotiation (Cost in 00' RMB)</t>
  </si>
  <si>
    <t>Scenario &amp; Rationale</t>
  </si>
  <si>
    <t>Scenario 1: Although Supplier B's round 2 RFQ total cost is the lowest, the Gasket cost remains highest amount all RFQ results</t>
  </si>
  <si>
    <t>Investigate how supplier B is managing upstream gasket suppliers and target for cost reduction in negotiation</t>
  </si>
  <si>
    <t>Scenario 2: Based on historical business review plan, Supplier B has been implementing cost saving programs to reduce scrap cost</t>
  </si>
  <si>
    <t>Target for cost return through cost optimization program in scrap cost</t>
  </si>
  <si>
    <t>Supplier B Volume Projection</t>
  </si>
  <si>
    <t>New Project Lifetime Volume (K cars/yr)</t>
  </si>
  <si>
    <t>Supplier B Supply Share</t>
  </si>
  <si>
    <t>Supplier B Volume Projection (K cars/yr)</t>
  </si>
  <si>
    <t>Y-o-y Growth Rate</t>
  </si>
  <si>
    <t>Scenario 3: Supplier is currently under development strategy to give more competitive pressure for supplier</t>
  </si>
  <si>
    <t>Continue to utilize potential demand and business opportunities for cost reduction</t>
  </si>
  <si>
    <t>Data Source: RiSE - Basic Information for POC</t>
  </si>
  <si>
    <t>#</t>
  </si>
  <si>
    <t>Name</t>
  </si>
  <si>
    <t>China info bank</t>
  </si>
  <si>
    <t>Purpose</t>
  </si>
  <si>
    <t>Search information from most of main
publications in China

Includes industry/company/regulatory
information and data</t>
  </si>
  <si>
    <t>Material Group Categorization and Strategy Recommendation - External Data Source</t>
  </si>
  <si>
    <t>Source Address</t>
  </si>
  <si>
    <t>Method</t>
  </si>
  <si>
    <t>http://www.infobank.cn/</t>
  </si>
  <si>
    <t>Search key words, e.g. "汽车内饰件“</t>
  </si>
  <si>
    <t>SOSHOO</t>
  </si>
  <si>
    <t>http://www.soshoo.com/index.do</t>
  </si>
  <si>
    <t>Provides the latest statistics about China

Information grouped by industry and
geography</t>
  </si>
  <si>
    <t>The official government body to collect different types of information/statistics in China

Provides quarterly and yearly statistics for information available</t>
  </si>
  <si>
    <t>http://www.stats.gov.cn/</t>
  </si>
  <si>
    <t>Bureau of Statistics</t>
  </si>
  <si>
    <t>China Economic Information Network</t>
  </si>
  <si>
    <t>http://www.cei.gov.cn/</t>
  </si>
  <si>
    <t>Macroeconomic data, data comparisons, national projects</t>
  </si>
  <si>
    <t>Search key words, e.g. "汽车零部件件“</t>
  </si>
  <si>
    <t>China Industry Research Network</t>
  </si>
  <si>
    <t>http://www.chinairn.com/</t>
  </si>
  <si>
    <t>Macroeconomic data, data comparisons, national projects, industrial wide reports</t>
  </si>
  <si>
    <t>Paid content</t>
  </si>
  <si>
    <t>China Market Research Report</t>
  </si>
  <si>
    <t>http://www.askci.com/</t>
  </si>
  <si>
    <t>http://www.cninfo.com.cn/new/index</t>
  </si>
  <si>
    <t>CNINF</t>
  </si>
  <si>
    <t>Supplier financial reports and investment analysis &amp; research</t>
  </si>
  <si>
    <t>WIND</t>
  </si>
  <si>
    <t>https://www.wind.com.cn/</t>
  </si>
  <si>
    <t>Paid data services</t>
  </si>
  <si>
    <t>USCBC</t>
  </si>
  <si>
    <t>Research on the Chinese trade and investment environment, as well as newsletters and analyses on political decisions that affect US business operations</t>
  </si>
  <si>
    <t>http://www.uschina.org/</t>
  </si>
  <si>
    <t>Registered content</t>
  </si>
  <si>
    <t>与大众自身的发展相对比</t>
  </si>
  <si>
    <t xml:space="preserve">量增价跌 - </t>
  </si>
  <si>
    <t>影响：Fix Cost ; 与战略意图</t>
  </si>
  <si>
    <t>战略意图：外部数据的判断，牺牲利润</t>
  </si>
  <si>
    <t>供应商的以往历史量增价跌表现：</t>
  </si>
  <si>
    <t>Local (&lt;500KM)</t>
  </si>
  <si>
    <t>Regional (&lt;2000KM)</t>
  </si>
  <si>
    <t>Continental (5000KM - 8000KM)</t>
  </si>
  <si>
    <t>Global (8000KM +)</t>
  </si>
  <si>
    <t>National (&lt;5000KM)</t>
  </si>
  <si>
    <t>Continental (&lt;8000KM)</t>
  </si>
  <si>
    <t>Easily available (Supply = 90% : Demand =10%)</t>
  </si>
  <si>
    <t>Supply &gt; Demand (Supply = 70% : Demand =30%)</t>
  </si>
  <si>
    <t>Supply = Demand  (Supply = 50% : Demand =50%)</t>
  </si>
  <si>
    <t>Supply &lt; Demand (Supply = 30% : Demand =70%)</t>
  </si>
  <si>
    <t>Rare good / scarce resource (Supply = 10% : Demand =90%)</t>
  </si>
  <si>
    <t>Oligopoly (Number of Suppliers: 4 to 10)</t>
  </si>
  <si>
    <t>Duopoly (Number of Suppliers: 2 to 3)</t>
  </si>
  <si>
    <t>Monopol (Number of Suppliers: 1)</t>
  </si>
  <si>
    <t>Between polypoly and oligopoly (Number of Suppliers: 11 to 20)</t>
  </si>
  <si>
    <t>Polypoly (Number of Suppliers: 20 +)</t>
  </si>
  <si>
    <t>Deregulated / free market (Number of relevent regulations: None)</t>
  </si>
  <si>
    <t>Little regulated market (Number of relevent regulations: 1 to 5)</t>
  </si>
  <si>
    <t>Partially regulated market (Number of relevenet regulations: 6 to 10)</t>
  </si>
  <si>
    <t>Noticeably regulated market (Number of relevent regulations: 11 to 20)</t>
  </si>
  <si>
    <t>Strictly regulated market (Number of relevent regulations: 20+)</t>
  </si>
  <si>
    <t>Low influence (Safetey stock level: 4 weeks)</t>
  </si>
  <si>
    <t>Medium influence (Safetey stock level: 2 weeks)</t>
  </si>
  <si>
    <t>Very high influence (Safetey stock level: None, no client delivery)</t>
  </si>
  <si>
    <t>High influence (Safetey stock level: 1 week)</t>
  </si>
  <si>
    <t>No influence (No influence on revenue)</t>
  </si>
  <si>
    <t>Low influence  (Reveue drop by 2%)</t>
  </si>
  <si>
    <t>Meidum influence  (Reveue drop by 5%)</t>
  </si>
  <si>
    <t>High influence  (Reveue drop by 8%)</t>
  </si>
  <si>
    <t>Very high influence  (Reveue drop by 10%)</t>
  </si>
  <si>
    <t>No influence (No return)</t>
  </si>
  <si>
    <t>Low influence ( by 3 % of return in cost saving)</t>
  </si>
  <si>
    <t>Medium influence ( by 5 % of return in cost saving)</t>
  </si>
  <si>
    <t>High influence  ( by 10 % of return in cost saving)</t>
  </si>
  <si>
    <t>Very high influence  (  10 %+ of return in cost saving)</t>
  </si>
  <si>
    <t>No impact: No dependency on supplier innovation</t>
  </si>
  <si>
    <t>Limited impact: by 5% of supplier innovation dependency</t>
  </si>
  <si>
    <t>High impact: by 50% of supplier innovation dependency</t>
  </si>
  <si>
    <t>Perceptible impact: by 30% of supplier innovation dependency</t>
  </si>
  <si>
    <t>Low impact: by 10% of supplier innovation dependency</t>
  </si>
  <si>
    <t>Low impact (Damage Reveue drop by 2%)</t>
  </si>
  <si>
    <t>Medium impact (Damage Reveue drop by 5%)</t>
  </si>
  <si>
    <t>High impact (Damage Reveue drop by 8%)</t>
  </si>
  <si>
    <t>Very high impact  (Damage Reveue drop by 10%)</t>
  </si>
  <si>
    <t>Barely perceptible rate of change (Market price fluctuations: by 0%)</t>
  </si>
  <si>
    <t>Slow rate of change (Market price fluctuations: by 1-2%)</t>
  </si>
  <si>
    <t>Perceptible rate of change, but not abnormal  (Market price fluctuations: by 3-4%)</t>
  </si>
  <si>
    <t>Clear rate of change in the market (Market price fluctuations: by 5-6%)</t>
  </si>
  <si>
    <t>Future market, high rate of change (Market price fluctuations: by 8%)</t>
  </si>
  <si>
    <t>数据源1：供应商A的成本结构量增价跌</t>
  </si>
  <si>
    <t>采购量</t>
  </si>
  <si>
    <t>数据源1：供应商A的成本结构量增价跌的历史数据</t>
  </si>
  <si>
    <t>供应商A成本明细 - 原材料价格</t>
  </si>
  <si>
    <t>数据源2：外部研究报告</t>
  </si>
  <si>
    <t>外部资源</t>
  </si>
  <si>
    <t>外部研究报告披露供应商的战略意图，在历史上的曾藏起通过牺牲利润率来获取更大销售量的策略</t>
  </si>
  <si>
    <t>研究报告观点</t>
  </si>
  <si>
    <t>零件号</t>
  </si>
  <si>
    <t>数据源3：供应商的以往历史量增价跌表现</t>
  </si>
  <si>
    <t>量增价跌</t>
  </si>
  <si>
    <t>根据数据模拟计算出量增价跌对原材料价格与报价谈判空间</t>
  </si>
  <si>
    <t>To be updated</t>
  </si>
  <si>
    <t>规则</t>
  </si>
  <si>
    <t>非量增价跌</t>
  </si>
  <si>
    <t>amount</t>
  </si>
  <si>
    <t>total_price</t>
  </si>
  <si>
    <t>material_price</t>
  </si>
  <si>
    <t>Part_No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</si>
</sst>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8" x14ac:knownFonts="1"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charset val="134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b/>
      <i/>
      <sz val="12"/>
      <color rgb="FF00206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u/>
      <sz val="11"/>
      <color theme="10"/>
      <name val="Calibri"/>
      <family val="2"/>
      <charset val="134"/>
      <scheme val="minor"/>
    </font>
    <font>
      <b/>
      <sz val="10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8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Font="1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0" borderId="0" xfId="1"/>
    <xf numFmtId="0" fontId="6" fillId="0" borderId="0" xfId="1" applyFont="1"/>
    <xf numFmtId="0" fontId="7" fillId="2" borderId="1" xfId="1" applyFont="1" applyFill="1" applyBorder="1"/>
    <xf numFmtId="0" fontId="2" fillId="0" borderId="1" xfId="1" applyBorder="1"/>
    <xf numFmtId="0" fontId="2" fillId="0" borderId="1" xfId="1" applyBorder="1" applyAlignment="1">
      <alignment horizontal="left" vertical="top"/>
    </xf>
    <xf numFmtId="0" fontId="7" fillId="2" borderId="1" xfId="1" applyFont="1" applyFill="1" applyBorder="1" applyAlignment="1">
      <alignment horizontal="left"/>
    </xf>
    <xf numFmtId="0" fontId="2" fillId="0" borderId="0" xfId="1" applyAlignment="1">
      <alignment wrapText="1"/>
    </xf>
    <xf numFmtId="0" fontId="7" fillId="2" borderId="1" xfId="1" applyFont="1" applyFill="1" applyBorder="1" applyAlignment="1">
      <alignment wrapText="1"/>
    </xf>
    <xf numFmtId="0" fontId="2" fillId="0" borderId="1" xfId="1" applyBorder="1" applyAlignment="1">
      <alignment wrapText="1"/>
    </xf>
    <xf numFmtId="0" fontId="2" fillId="2" borderId="1" xfId="1" applyFill="1" applyBorder="1" applyAlignment="1">
      <alignment wrapText="1"/>
    </xf>
    <xf numFmtId="0" fontId="2" fillId="0" borderId="1" xfId="1" applyBorder="1" applyAlignment="1">
      <alignment vertical="top"/>
    </xf>
    <xf numFmtId="0" fontId="2" fillId="0" borderId="1" xfId="1" applyBorder="1" applyAlignment="1">
      <alignment vertical="top" wrapText="1"/>
    </xf>
    <xf numFmtId="0" fontId="2" fillId="0" borderId="1" xfId="1" applyBorder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 wrapText="1"/>
    </xf>
    <xf numFmtId="0" fontId="10" fillId="3" borderId="0" xfId="0" applyFont="1" applyFill="1" applyAlignment="1">
      <alignment horizontal="right" vertical="top" wrapText="1"/>
    </xf>
    <xf numFmtId="0" fontId="1" fillId="3" borderId="0" xfId="0" applyFont="1" applyFill="1" applyAlignment="1">
      <alignment horizontal="left" vertical="top"/>
    </xf>
    <xf numFmtId="0" fontId="0" fillId="5" borderId="0" xfId="0" applyFill="1"/>
    <xf numFmtId="0" fontId="0" fillId="5" borderId="0" xfId="0" applyFill="1" applyAlignment="1">
      <alignment horizontal="left" vertical="top" wrapText="1"/>
    </xf>
    <xf numFmtId="0" fontId="10" fillId="5" borderId="0" xfId="0" applyFont="1" applyFill="1" applyAlignment="1">
      <alignment horizontal="right" vertical="top" wrapText="1"/>
    </xf>
    <xf numFmtId="0" fontId="0" fillId="0" borderId="0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/>
    </xf>
    <xf numFmtId="164" fontId="0" fillId="0" borderId="1" xfId="2" applyNumberFormat="1" applyFont="1" applyBorder="1" applyAlignment="1">
      <alignment horizontal="left" vertical="top" wrapText="1"/>
    </xf>
    <xf numFmtId="0" fontId="0" fillId="0" borderId="1" xfId="0" applyNumberFormat="1" applyBorder="1" applyAlignment="1">
      <alignment horizontal="left" vertical="top" wrapText="1"/>
    </xf>
    <xf numFmtId="164" fontId="5" fillId="0" borderId="1" xfId="2" applyNumberFormat="1" applyFont="1" applyBorder="1" applyAlignment="1">
      <alignment horizontal="left" vertical="top" wrapText="1"/>
    </xf>
    <xf numFmtId="0" fontId="12" fillId="0" borderId="1" xfId="0" applyFont="1" applyBorder="1" applyAlignment="1">
      <alignment horizontal="right" vertical="top" wrapText="1"/>
    </xf>
    <xf numFmtId="164" fontId="12" fillId="0" borderId="1" xfId="2" applyNumberFormat="1" applyFont="1" applyBorder="1" applyAlignment="1">
      <alignment horizontal="right" vertical="top" wrapText="1"/>
    </xf>
    <xf numFmtId="0" fontId="11" fillId="0" borderId="1" xfId="0" applyFont="1" applyBorder="1" applyAlignment="1">
      <alignment horizontal="right" vertical="top" wrapText="1"/>
    </xf>
    <xf numFmtId="0" fontId="13" fillId="0" borderId="1" xfId="0" applyFont="1" applyBorder="1" applyAlignment="1">
      <alignment horizontal="right" vertical="top" wrapText="1"/>
    </xf>
    <xf numFmtId="164" fontId="13" fillId="0" borderId="1" xfId="2" applyNumberFormat="1" applyFont="1" applyBorder="1" applyAlignment="1">
      <alignment horizontal="right" vertical="top" wrapText="1"/>
    </xf>
    <xf numFmtId="0" fontId="14" fillId="0" borderId="1" xfId="0" applyFont="1" applyBorder="1" applyAlignment="1">
      <alignment horizontal="right" vertical="top" wrapText="1"/>
    </xf>
    <xf numFmtId="0" fontId="1" fillId="0" borderId="1" xfId="0" applyFont="1" applyFill="1" applyBorder="1" applyAlignment="1">
      <alignment horizontal="left" vertical="top" wrapText="1"/>
    </xf>
    <xf numFmtId="165" fontId="0" fillId="0" borderId="1" xfId="0" applyNumberFormat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wrapText="1"/>
    </xf>
    <xf numFmtId="0" fontId="2" fillId="0" borderId="0" xfId="1" applyAlignment="1">
      <alignment horizontal="left" vertical="top"/>
    </xf>
    <xf numFmtId="0" fontId="16" fillId="0" borderId="0" xfId="1" applyFont="1"/>
    <xf numFmtId="0" fontId="7" fillId="2" borderId="0" xfId="1" applyFont="1" applyFill="1"/>
    <xf numFmtId="0" fontId="15" fillId="0" borderId="0" xfId="3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17" fillId="0" borderId="0" xfId="1" applyFont="1"/>
    <xf numFmtId="0" fontId="2" fillId="6" borderId="1" xfId="1" applyFill="1" applyBorder="1"/>
    <xf numFmtId="0" fontId="17" fillId="0" borderId="0" xfId="1" applyFont="1" applyAlignment="1">
      <alignment horizontal="left" vertical="top" wrapText="1"/>
    </xf>
    <xf numFmtId="2" fontId="2" fillId="0" borderId="1" xfId="1" applyNumberFormat="1" applyBorder="1" applyAlignment="1">
      <alignment wrapText="1"/>
    </xf>
    <xf numFmtId="2" fontId="2" fillId="0" borderId="1" xfId="1" applyNumberFormat="1" applyBorder="1"/>
    <xf numFmtId="0" fontId="3" fillId="2" borderId="1" xfId="0" applyFont="1" applyFill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7" fillId="2" borderId="1" xfId="1" applyFont="1" applyFill="1" applyBorder="1" applyAlignment="1">
      <alignment horizontal="left"/>
    </xf>
    <xf numFmtId="0" fontId="2" fillId="6" borderId="5" xfId="1" applyFill="1" applyBorder="1" applyAlignment="1">
      <alignment horizontal="center"/>
    </xf>
    <xf numFmtId="0" fontId="2" fillId="6" borderId="0" xfId="1" applyFill="1" applyBorder="1" applyAlignment="1">
      <alignment horizontal="center"/>
    </xf>
    <xf numFmtId="0" fontId="2" fillId="0" borderId="4" xfId="1" applyBorder="1" applyAlignment="1">
      <alignment horizontal="center"/>
    </xf>
    <xf numFmtId="0" fontId="2" fillId="0" borderId="6" xfId="1" applyBorder="1" applyAlignment="1">
      <alignment horizontal="center"/>
    </xf>
    <xf numFmtId="0" fontId="2" fillId="0" borderId="7" xfId="1" applyBorder="1" applyAlignment="1">
      <alignment horizontal="center"/>
    </xf>
  </cellXfs>
  <cellStyles count="4">
    <cellStyle name="Hyperlink" xfId="3" builtinId="8"/>
    <cellStyle name="Normal" xfId="0" builtinId="0"/>
    <cellStyle name="Normal 2" xfId="1" xr:uid="{00000000-0005-0000-0000-000002000000}"/>
    <cellStyle name="Per cent" xfId="2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ind.com.cn/" TargetMode="External"/><Relationship Id="rId3" Type="http://schemas.openxmlformats.org/officeDocument/2006/relationships/hyperlink" Target="http://www.stats.gov.cn/" TargetMode="External"/><Relationship Id="rId7" Type="http://schemas.openxmlformats.org/officeDocument/2006/relationships/hyperlink" Target="http://www.cninfo.com.cn/new/index" TargetMode="External"/><Relationship Id="rId2" Type="http://schemas.openxmlformats.org/officeDocument/2006/relationships/hyperlink" Target="http://www.soshoo.com/index.do" TargetMode="External"/><Relationship Id="rId1" Type="http://schemas.openxmlformats.org/officeDocument/2006/relationships/hyperlink" Target="http://www.infobank.cn/" TargetMode="External"/><Relationship Id="rId6" Type="http://schemas.openxmlformats.org/officeDocument/2006/relationships/hyperlink" Target="http://www.askci.com/" TargetMode="External"/><Relationship Id="rId5" Type="http://schemas.openxmlformats.org/officeDocument/2006/relationships/hyperlink" Target="http://www.chinairn.com/" TargetMode="External"/><Relationship Id="rId4" Type="http://schemas.openxmlformats.org/officeDocument/2006/relationships/hyperlink" Target="http://www.cei.gov.cn/" TargetMode="External"/><Relationship Id="rId9" Type="http://schemas.openxmlformats.org/officeDocument/2006/relationships/hyperlink" Target="http://www.uschina.org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zoomScale="73" zoomScaleNormal="90" workbookViewId="0">
      <pane ySplit="3" topLeftCell="A7" activePane="bottomLeft" state="frozen"/>
      <selection activeCell="F9" sqref="F9"/>
      <selection pane="bottomLeft" activeCell="F9" sqref="F9"/>
    </sheetView>
  </sheetViews>
  <sheetFormatPr baseColWidth="10" defaultColWidth="8.83203125" defaultRowHeight="15" x14ac:dyDescent="0.2"/>
  <cols>
    <col min="1" max="1" width="31.33203125" customWidth="1"/>
    <col min="2" max="6" width="16.5" style="2" customWidth="1"/>
    <col min="7" max="8" width="20.6640625" style="2" customWidth="1"/>
    <col min="9" max="13" width="16.5" customWidth="1"/>
    <col min="14" max="14" width="20.6640625" customWidth="1"/>
    <col min="15" max="15" width="33.6640625" customWidth="1"/>
  </cols>
  <sheetData>
    <row r="1" spans="1:15" x14ac:dyDescent="0.2">
      <c r="A1" s="3" t="s">
        <v>0</v>
      </c>
      <c r="B1" s="1"/>
    </row>
    <row r="3" spans="1:15" s="6" customFormat="1" ht="32" x14ac:dyDescent="0.2">
      <c r="A3" s="16" t="s">
        <v>26</v>
      </c>
      <c r="B3" s="76" t="s">
        <v>6</v>
      </c>
      <c r="C3" s="76"/>
      <c r="D3" s="76"/>
      <c r="E3" s="76"/>
      <c r="F3" s="76"/>
      <c r="G3" s="14" t="s">
        <v>29</v>
      </c>
      <c r="H3" s="14"/>
      <c r="I3" s="76" t="s">
        <v>7</v>
      </c>
      <c r="J3" s="76"/>
      <c r="K3" s="76"/>
      <c r="L3" s="76"/>
      <c r="M3" s="76"/>
      <c r="N3" s="15" t="s">
        <v>30</v>
      </c>
      <c r="O3" s="15" t="s">
        <v>15</v>
      </c>
    </row>
    <row r="4" spans="1:15" ht="112.5" customHeight="1" x14ac:dyDescent="0.2">
      <c r="A4" s="7" t="s">
        <v>44</v>
      </c>
      <c r="B4" s="7" t="s">
        <v>2</v>
      </c>
      <c r="C4" s="7" t="s">
        <v>1</v>
      </c>
      <c r="D4" s="7" t="s">
        <v>3</v>
      </c>
      <c r="E4" s="7" t="s">
        <v>4</v>
      </c>
      <c r="F4" s="7" t="s">
        <v>5</v>
      </c>
      <c r="G4" s="8"/>
      <c r="H4" s="8" t="s">
        <v>188</v>
      </c>
      <c r="I4" s="7" t="s">
        <v>8</v>
      </c>
      <c r="J4" s="7" t="s">
        <v>9</v>
      </c>
      <c r="K4" s="7" t="s">
        <v>11</v>
      </c>
      <c r="L4" s="7" t="s">
        <v>10</v>
      </c>
      <c r="M4" s="7" t="s">
        <v>12</v>
      </c>
      <c r="N4" s="9"/>
      <c r="O4" s="9"/>
    </row>
    <row r="5" spans="1:15" ht="96" x14ac:dyDescent="0.2">
      <c r="A5" s="10" t="s">
        <v>16</v>
      </c>
      <c r="B5" s="8" t="s">
        <v>193</v>
      </c>
      <c r="C5" s="8" t="s">
        <v>200</v>
      </c>
      <c r="D5" s="8" t="s">
        <v>207</v>
      </c>
      <c r="E5" s="8" t="s">
        <v>238</v>
      </c>
      <c r="F5" s="8" t="s">
        <v>210</v>
      </c>
      <c r="G5" s="8" t="s">
        <v>17</v>
      </c>
      <c r="H5" s="8"/>
      <c r="I5" s="8" t="s">
        <v>214</v>
      </c>
      <c r="J5" s="8" t="s">
        <v>220</v>
      </c>
      <c r="K5" s="8" t="s">
        <v>224</v>
      </c>
      <c r="L5" s="8" t="s">
        <v>229</v>
      </c>
      <c r="M5" s="70" t="s">
        <v>234</v>
      </c>
      <c r="N5" s="11" t="s">
        <v>21</v>
      </c>
      <c r="O5" s="8" t="s">
        <v>22</v>
      </c>
    </row>
    <row r="6" spans="1:15" ht="64" x14ac:dyDescent="0.2">
      <c r="A6" s="10" t="s">
        <v>97</v>
      </c>
      <c r="B6" s="8" t="s">
        <v>194</v>
      </c>
      <c r="C6" s="8" t="s">
        <v>202</v>
      </c>
      <c r="D6" s="8" t="s">
        <v>207</v>
      </c>
      <c r="E6" s="8" t="s">
        <v>238</v>
      </c>
      <c r="F6" s="8" t="s">
        <v>211</v>
      </c>
      <c r="G6" s="8" t="s">
        <v>21</v>
      </c>
      <c r="H6" s="8"/>
      <c r="I6" s="8" t="s">
        <v>214</v>
      </c>
      <c r="J6" s="8" t="s">
        <v>219</v>
      </c>
      <c r="K6" s="8" t="s">
        <v>224</v>
      </c>
      <c r="L6" s="8" t="s">
        <v>228</v>
      </c>
      <c r="M6" s="12" t="s">
        <v>233</v>
      </c>
      <c r="N6" s="11" t="s">
        <v>17</v>
      </c>
      <c r="O6" s="8" t="s">
        <v>98</v>
      </c>
    </row>
    <row r="7" spans="1:15" ht="80" x14ac:dyDescent="0.2">
      <c r="A7" s="10" t="s">
        <v>99</v>
      </c>
      <c r="B7" s="8" t="s">
        <v>197</v>
      </c>
      <c r="C7" s="8" t="s">
        <v>201</v>
      </c>
      <c r="D7" s="8" t="s">
        <v>204</v>
      </c>
      <c r="E7" s="8" t="s">
        <v>239</v>
      </c>
      <c r="F7" s="8" t="s">
        <v>211</v>
      </c>
      <c r="G7" s="8" t="s">
        <v>21</v>
      </c>
      <c r="H7" s="8"/>
      <c r="I7" s="8" t="s">
        <v>215</v>
      </c>
      <c r="J7" s="8" t="s">
        <v>220</v>
      </c>
      <c r="K7" s="11" t="s">
        <v>225</v>
      </c>
      <c r="L7" s="8" t="s">
        <v>232</v>
      </c>
      <c r="M7" s="70" t="s">
        <v>234</v>
      </c>
      <c r="N7" s="11" t="s">
        <v>21</v>
      </c>
      <c r="O7" s="8" t="s">
        <v>100</v>
      </c>
    </row>
    <row r="8" spans="1:15" ht="80" x14ac:dyDescent="0.2">
      <c r="A8" s="10" t="s">
        <v>101</v>
      </c>
      <c r="B8" s="8" t="s">
        <v>197</v>
      </c>
      <c r="C8" s="8" t="s">
        <v>201</v>
      </c>
      <c r="D8" s="8" t="s">
        <v>205</v>
      </c>
      <c r="E8" s="8" t="s">
        <v>240</v>
      </c>
      <c r="F8" s="8" t="s">
        <v>212</v>
      </c>
      <c r="G8" s="8" t="s">
        <v>27</v>
      </c>
      <c r="H8" s="8"/>
      <c r="I8" s="8" t="s">
        <v>215</v>
      </c>
      <c r="J8" s="8" t="s">
        <v>220</v>
      </c>
      <c r="K8" s="8" t="s">
        <v>224</v>
      </c>
      <c r="L8" s="8" t="s">
        <v>232</v>
      </c>
      <c r="M8" s="70" t="s">
        <v>234</v>
      </c>
      <c r="N8" s="11" t="s">
        <v>21</v>
      </c>
      <c r="O8" s="8" t="s">
        <v>105</v>
      </c>
    </row>
    <row r="9" spans="1:15" ht="80" x14ac:dyDescent="0.2">
      <c r="A9" s="10" t="s">
        <v>102</v>
      </c>
      <c r="B9" s="8" t="s">
        <v>197</v>
      </c>
      <c r="C9" s="8" t="s">
        <v>200</v>
      </c>
      <c r="D9" s="8" t="s">
        <v>207</v>
      </c>
      <c r="E9" s="8" t="s">
        <v>239</v>
      </c>
      <c r="F9" s="8" t="s">
        <v>210</v>
      </c>
      <c r="G9" s="8" t="s">
        <v>21</v>
      </c>
      <c r="H9" s="8"/>
      <c r="I9" s="8" t="s">
        <v>217</v>
      </c>
      <c r="J9" s="8" t="s">
        <v>221</v>
      </c>
      <c r="K9" s="8" t="s">
        <v>225</v>
      </c>
      <c r="L9" s="8" t="s">
        <v>232</v>
      </c>
      <c r="M9" s="70" t="s">
        <v>235</v>
      </c>
      <c r="N9" s="11" t="s">
        <v>27</v>
      </c>
      <c r="O9" s="8" t="s">
        <v>103</v>
      </c>
    </row>
    <row r="10" spans="1:15" ht="64" x14ac:dyDescent="0.2">
      <c r="A10" s="10" t="s">
        <v>104</v>
      </c>
      <c r="B10" s="8" t="s">
        <v>194</v>
      </c>
      <c r="C10" s="8" t="s">
        <v>200</v>
      </c>
      <c r="D10" s="8" t="s">
        <v>207</v>
      </c>
      <c r="E10" s="8" t="s">
        <v>238</v>
      </c>
      <c r="F10" s="8" t="s">
        <v>210</v>
      </c>
      <c r="G10" s="8" t="s">
        <v>17</v>
      </c>
      <c r="H10" s="8"/>
      <c r="I10" s="8" t="s">
        <v>214</v>
      </c>
      <c r="J10" s="8" t="s">
        <v>219</v>
      </c>
      <c r="K10" s="8" t="s">
        <v>224</v>
      </c>
      <c r="L10" s="8" t="s">
        <v>229</v>
      </c>
      <c r="M10" s="70" t="s">
        <v>233</v>
      </c>
      <c r="N10" s="11" t="s">
        <v>17</v>
      </c>
      <c r="O10" s="8" t="s">
        <v>24</v>
      </c>
    </row>
    <row r="11" spans="1:15" ht="64" x14ac:dyDescent="0.2">
      <c r="A11" s="13" t="s">
        <v>23</v>
      </c>
      <c r="B11" s="8" t="s">
        <v>193</v>
      </c>
      <c r="C11" s="8" t="s">
        <v>199</v>
      </c>
      <c r="D11" s="8" t="s">
        <v>208</v>
      </c>
      <c r="E11" s="8" t="s">
        <v>237</v>
      </c>
      <c r="F11" s="8" t="s">
        <v>209</v>
      </c>
      <c r="G11" s="8" t="s">
        <v>17</v>
      </c>
      <c r="H11" s="8"/>
      <c r="I11" s="11" t="s">
        <v>18</v>
      </c>
      <c r="J11" s="11" t="s">
        <v>18</v>
      </c>
      <c r="K11" s="11" t="s">
        <v>223</v>
      </c>
      <c r="L11" s="11" t="s">
        <v>228</v>
      </c>
      <c r="M11" s="12" t="s">
        <v>20</v>
      </c>
      <c r="N11" s="11" t="s">
        <v>17</v>
      </c>
      <c r="O11" s="8" t="s">
        <v>24</v>
      </c>
    </row>
    <row r="12" spans="1:15" ht="80" x14ac:dyDescent="0.2">
      <c r="A12" s="13" t="s">
        <v>25</v>
      </c>
      <c r="B12" s="8" t="s">
        <v>195</v>
      </c>
      <c r="C12" s="8" t="s">
        <v>202</v>
      </c>
      <c r="D12" s="8" t="s">
        <v>204</v>
      </c>
      <c r="E12" s="8" t="s">
        <v>240</v>
      </c>
      <c r="F12" s="8" t="s">
        <v>212</v>
      </c>
      <c r="G12" s="8" t="s">
        <v>27</v>
      </c>
      <c r="H12" s="8"/>
      <c r="I12" s="8" t="s">
        <v>217</v>
      </c>
      <c r="J12" s="8" t="s">
        <v>216</v>
      </c>
      <c r="K12" s="8" t="s">
        <v>227</v>
      </c>
      <c r="L12" s="8" t="s">
        <v>231</v>
      </c>
      <c r="M12" s="70" t="s">
        <v>235</v>
      </c>
      <c r="N12" s="11" t="s">
        <v>27</v>
      </c>
      <c r="O12" s="8" t="s">
        <v>28</v>
      </c>
    </row>
    <row r="14" spans="1:15" x14ac:dyDescent="0.2">
      <c r="B14"/>
      <c r="C14"/>
      <c r="D14"/>
      <c r="E14"/>
      <c r="F14"/>
      <c r="G14"/>
      <c r="H14"/>
    </row>
    <row r="15" spans="1:15" x14ac:dyDescent="0.2">
      <c r="B15"/>
      <c r="C15"/>
      <c r="D15"/>
      <c r="E15"/>
      <c r="F15"/>
      <c r="G15"/>
      <c r="H15"/>
    </row>
    <row r="16" spans="1:15" x14ac:dyDescent="0.2">
      <c r="B16"/>
      <c r="C16"/>
      <c r="D16"/>
      <c r="E16"/>
      <c r="F16"/>
      <c r="G16"/>
      <c r="H16"/>
    </row>
    <row r="17" spans="2:8" x14ac:dyDescent="0.2">
      <c r="B17"/>
      <c r="C17"/>
      <c r="D17"/>
      <c r="E17"/>
      <c r="F17"/>
      <c r="G17"/>
      <c r="H17"/>
    </row>
    <row r="18" spans="2:8" x14ac:dyDescent="0.2">
      <c r="B18"/>
      <c r="C18"/>
      <c r="D18"/>
      <c r="E18"/>
      <c r="F18"/>
      <c r="G18"/>
      <c r="H18"/>
    </row>
  </sheetData>
  <mergeCells count="2">
    <mergeCell ref="B3:F3"/>
    <mergeCell ref="I3:M3"/>
  </mergeCells>
  <pageMargins left="0.7" right="0.7" top="0.75" bottom="0.75" header="0.3" footer="0.3"/>
  <pageSetup paperSize="9" orientation="portrait" horizontalDpi="300" verticalDpi="300" copies="0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0000000}">
          <x14:formula1>
            <xm:f>'Drop Down'!$A$5:$A$9</xm:f>
          </x14:formula1>
          <xm:sqref>B5:B13 B19:B25</xm:sqref>
        </x14:dataValidation>
        <x14:dataValidation type="list" allowBlank="1" showInputMessage="1" showErrorMessage="1" xr:uid="{00000000-0002-0000-0000-000001000000}">
          <x14:formula1>
            <xm:f>'Drop Down'!$B$5:$B$9</xm:f>
          </x14:formula1>
          <xm:sqref>C5:C13 C19:C25</xm:sqref>
        </x14:dataValidation>
        <x14:dataValidation type="list" allowBlank="1" showInputMessage="1" showErrorMessage="1" xr:uid="{00000000-0002-0000-0000-000002000000}">
          <x14:formula1>
            <xm:f>'Drop Down'!$C$5:$C$9</xm:f>
          </x14:formula1>
          <xm:sqref>D5:D12</xm:sqref>
        </x14:dataValidation>
        <x14:dataValidation type="list" allowBlank="1" showInputMessage="1" showErrorMessage="1" xr:uid="{00000000-0002-0000-0000-000003000000}">
          <x14:formula1>
            <xm:f>'Drop Down'!$D$5:$D$9</xm:f>
          </x14:formula1>
          <xm:sqref>E5:E12</xm:sqref>
        </x14:dataValidation>
        <x14:dataValidation type="list" allowBlank="1" showInputMessage="1" showErrorMessage="1" xr:uid="{00000000-0002-0000-0000-000004000000}">
          <x14:formula1>
            <xm:f>'Drop Down'!$E$5:$E$9</xm:f>
          </x14:formula1>
          <xm:sqref>F5:F12</xm:sqref>
        </x14:dataValidation>
        <x14:dataValidation type="list" allowBlank="1" showInputMessage="1" showErrorMessage="1" xr:uid="{00000000-0002-0000-0000-000005000000}">
          <x14:formula1>
            <xm:f>'Drop Down'!$G$5:$G$9</xm:f>
          </x14:formula1>
          <xm:sqref>I5:I12 J11:J12</xm:sqref>
        </x14:dataValidation>
        <x14:dataValidation type="list" allowBlank="1" showInputMessage="1" showErrorMessage="1" xr:uid="{00000000-0002-0000-0000-000006000000}">
          <x14:formula1>
            <xm:f>'Drop Down'!$H$5:$H$9</xm:f>
          </x14:formula1>
          <xm:sqref>J5:J10</xm:sqref>
        </x14:dataValidation>
        <x14:dataValidation type="list" allowBlank="1" showInputMessage="1" showErrorMessage="1" xr:uid="{00000000-0002-0000-0000-000007000000}">
          <x14:formula1>
            <xm:f>'Drop Down'!$I$5:$I$9</xm:f>
          </x14:formula1>
          <xm:sqref>K5:K12</xm:sqref>
        </x14:dataValidation>
        <x14:dataValidation type="list" allowBlank="1" showInputMessage="1" showErrorMessage="1" xr:uid="{00000000-0002-0000-0000-000008000000}">
          <x14:formula1>
            <xm:f>'Drop Down'!$J$5:$J$9</xm:f>
          </x14:formula1>
          <xm:sqref>L5:L12</xm:sqref>
        </x14:dataValidation>
        <x14:dataValidation type="list" allowBlank="1" showInputMessage="1" showErrorMessage="1" xr:uid="{00000000-0002-0000-0000-000009000000}">
          <x14:formula1>
            <xm:f>'Drop Down'!$K$5:$K$9</xm:f>
          </x14:formula1>
          <xm:sqref>M5:M12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F9" sqref="F9"/>
    </sheetView>
  </sheetViews>
  <sheetFormatPr baseColWidth="10" defaultColWidth="9.1640625" defaultRowHeight="13" x14ac:dyDescent="0.15"/>
  <cols>
    <col min="1" max="1" width="9.1640625" style="17"/>
    <col min="2" max="2" width="13.83203125" style="17" bestFit="1" customWidth="1"/>
    <col min="3" max="3" width="36.1640625" style="17" bestFit="1" customWidth="1"/>
    <col min="4" max="4" width="31.5" style="17" customWidth="1"/>
    <col min="5" max="5" width="24.5" style="17" customWidth="1"/>
    <col min="6" max="16384" width="9.1640625" style="17"/>
  </cols>
  <sheetData>
    <row r="1" spans="1:5" x14ac:dyDescent="0.15">
      <c r="A1" s="66" t="s">
        <v>157</v>
      </c>
    </row>
    <row r="3" spans="1:5" x14ac:dyDescent="0.15">
      <c r="A3" s="67" t="s">
        <v>152</v>
      </c>
      <c r="B3" s="67" t="s">
        <v>153</v>
      </c>
      <c r="C3" s="67" t="s">
        <v>158</v>
      </c>
      <c r="D3" s="67" t="s">
        <v>155</v>
      </c>
      <c r="E3" s="67" t="s">
        <v>159</v>
      </c>
    </row>
    <row r="4" spans="1:5" ht="70" x14ac:dyDescent="0.15">
      <c r="A4" s="65">
        <v>1</v>
      </c>
      <c r="B4" s="65" t="s">
        <v>154</v>
      </c>
      <c r="C4" s="68" t="s">
        <v>160</v>
      </c>
      <c r="D4" s="30" t="s">
        <v>156</v>
      </c>
      <c r="E4" s="30" t="s">
        <v>161</v>
      </c>
    </row>
    <row r="5" spans="1:5" ht="70" x14ac:dyDescent="0.15">
      <c r="A5" s="65">
        <v>2</v>
      </c>
      <c r="B5" s="65" t="s">
        <v>162</v>
      </c>
      <c r="C5" s="68" t="s">
        <v>163</v>
      </c>
      <c r="D5" s="30" t="s">
        <v>164</v>
      </c>
      <c r="E5" s="30" t="s">
        <v>161</v>
      </c>
    </row>
    <row r="6" spans="1:5" ht="84" x14ac:dyDescent="0.15">
      <c r="A6" s="65">
        <v>3</v>
      </c>
      <c r="B6" s="30" t="s">
        <v>167</v>
      </c>
      <c r="C6" s="68" t="s">
        <v>166</v>
      </c>
      <c r="D6" s="30" t="s">
        <v>165</v>
      </c>
      <c r="E6" s="65"/>
    </row>
    <row r="7" spans="1:5" ht="42" x14ac:dyDescent="0.15">
      <c r="A7" s="65">
        <v>4</v>
      </c>
      <c r="B7" s="30" t="s">
        <v>168</v>
      </c>
      <c r="C7" s="68" t="s">
        <v>169</v>
      </c>
      <c r="D7" s="30" t="s">
        <v>170</v>
      </c>
      <c r="E7" s="30" t="s">
        <v>171</v>
      </c>
    </row>
    <row r="8" spans="1:5" ht="42" x14ac:dyDescent="0.15">
      <c r="A8" s="65">
        <v>5</v>
      </c>
      <c r="B8" s="30" t="s">
        <v>172</v>
      </c>
      <c r="C8" s="68" t="s">
        <v>173</v>
      </c>
      <c r="D8" s="30" t="s">
        <v>174</v>
      </c>
      <c r="E8" s="65" t="s">
        <v>175</v>
      </c>
    </row>
    <row r="9" spans="1:5" ht="42" x14ac:dyDescent="0.15">
      <c r="A9" s="65">
        <v>6</v>
      </c>
      <c r="B9" s="30" t="s">
        <v>176</v>
      </c>
      <c r="C9" s="68" t="s">
        <v>177</v>
      </c>
      <c r="D9" s="30" t="s">
        <v>170</v>
      </c>
      <c r="E9" s="65" t="s">
        <v>175</v>
      </c>
    </row>
    <row r="10" spans="1:5" ht="28" x14ac:dyDescent="0.15">
      <c r="A10" s="65">
        <v>7</v>
      </c>
      <c r="B10" s="65" t="s">
        <v>179</v>
      </c>
      <c r="C10" s="68" t="s">
        <v>178</v>
      </c>
      <c r="D10" s="30" t="s">
        <v>180</v>
      </c>
      <c r="E10" s="30" t="s">
        <v>171</v>
      </c>
    </row>
    <row r="11" spans="1:5" ht="28" x14ac:dyDescent="0.15">
      <c r="A11" s="65">
        <v>8</v>
      </c>
      <c r="B11" s="65" t="s">
        <v>181</v>
      </c>
      <c r="C11" s="68" t="s">
        <v>182</v>
      </c>
      <c r="D11" s="30" t="s">
        <v>180</v>
      </c>
      <c r="E11" s="65" t="s">
        <v>183</v>
      </c>
    </row>
    <row r="12" spans="1:5" ht="70" x14ac:dyDescent="0.15">
      <c r="A12" s="65">
        <v>9</v>
      </c>
      <c r="B12" s="65" t="s">
        <v>184</v>
      </c>
      <c r="C12" s="68" t="s">
        <v>186</v>
      </c>
      <c r="D12" s="30" t="s">
        <v>185</v>
      </c>
      <c r="E12" s="65" t="s">
        <v>187</v>
      </c>
    </row>
    <row r="13" spans="1:5" x14ac:dyDescent="0.15">
      <c r="A13" s="65"/>
      <c r="B13" s="65"/>
      <c r="C13" s="65"/>
      <c r="D13" s="65"/>
      <c r="E13" s="65"/>
    </row>
    <row r="14" spans="1:5" x14ac:dyDescent="0.15">
      <c r="A14" s="65"/>
      <c r="B14" s="65"/>
      <c r="C14" s="65"/>
      <c r="D14" s="65"/>
      <c r="E14" s="65"/>
    </row>
    <row r="15" spans="1:5" x14ac:dyDescent="0.15">
      <c r="A15" s="65"/>
      <c r="B15" s="65"/>
      <c r="C15" s="65"/>
      <c r="D15" s="65"/>
      <c r="E15" s="65"/>
    </row>
  </sheetData>
  <hyperlinks>
    <hyperlink ref="C4" r:id="rId1" xr:uid="{00000000-0004-0000-0100-000000000000}"/>
    <hyperlink ref="C5" r:id="rId2" xr:uid="{00000000-0004-0000-0100-000001000000}"/>
    <hyperlink ref="C6" r:id="rId3" xr:uid="{00000000-0004-0000-0100-000002000000}"/>
    <hyperlink ref="C7" r:id="rId4" xr:uid="{00000000-0004-0000-0100-000003000000}"/>
    <hyperlink ref="C8" r:id="rId5" xr:uid="{00000000-0004-0000-0100-000004000000}"/>
    <hyperlink ref="C9" r:id="rId6" xr:uid="{00000000-0004-0000-0100-000005000000}"/>
    <hyperlink ref="C10" r:id="rId7" xr:uid="{00000000-0004-0000-0100-000006000000}"/>
    <hyperlink ref="C11" r:id="rId8" xr:uid="{00000000-0004-0000-0100-000007000000}"/>
    <hyperlink ref="C12" r:id="rId9" xr:uid="{00000000-0004-0000-0100-000008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4"/>
  <sheetViews>
    <sheetView topLeftCell="A3" zoomScale="73" zoomScaleNormal="90" workbookViewId="0">
      <selection activeCell="F9" sqref="F9"/>
    </sheetView>
  </sheetViews>
  <sheetFormatPr baseColWidth="10" defaultColWidth="8.83203125" defaultRowHeight="15" x14ac:dyDescent="0.2"/>
  <cols>
    <col min="1" max="1" width="31.33203125" customWidth="1"/>
    <col min="2" max="3" width="31.33203125" style="2" customWidth="1"/>
    <col min="4" max="4" width="21" style="2" customWidth="1"/>
    <col min="5" max="11" width="14.33203125" style="2" customWidth="1"/>
    <col min="12" max="13" width="14.33203125" customWidth="1"/>
    <col min="14" max="14" width="39.33203125" customWidth="1"/>
    <col min="15" max="15" width="33.83203125" customWidth="1"/>
    <col min="16" max="16" width="33.6640625" customWidth="1"/>
  </cols>
  <sheetData>
    <row r="1" spans="1:8" x14ac:dyDescent="0.2">
      <c r="A1" s="3" t="s">
        <v>31</v>
      </c>
      <c r="B1" s="1"/>
    </row>
    <row r="2" spans="1:8" x14ac:dyDescent="0.2">
      <c r="A2" s="3"/>
      <c r="B2" s="1"/>
    </row>
    <row r="3" spans="1:8" ht="32" x14ac:dyDescent="0.2">
      <c r="A3" s="37" t="s">
        <v>108</v>
      </c>
      <c r="B3" s="38" t="s">
        <v>109</v>
      </c>
      <c r="C3" s="16" t="s">
        <v>110</v>
      </c>
      <c r="D3" s="16" t="s">
        <v>111</v>
      </c>
      <c r="E3" s="33"/>
      <c r="F3" s="33"/>
      <c r="G3" s="33"/>
      <c r="H3" s="33"/>
    </row>
    <row r="4" spans="1:8" ht="48" x14ac:dyDescent="0.2">
      <c r="A4" s="82" t="s">
        <v>112</v>
      </c>
      <c r="B4" s="8" t="s">
        <v>113</v>
      </c>
      <c r="C4" s="8" t="s">
        <v>117</v>
      </c>
      <c r="D4" s="8" t="s">
        <v>114</v>
      </c>
      <c r="E4" s="45"/>
    </row>
    <row r="5" spans="1:8" ht="48" x14ac:dyDescent="0.2">
      <c r="A5" s="82"/>
      <c r="B5" s="8" t="s">
        <v>115</v>
      </c>
      <c r="C5" s="8" t="s">
        <v>118</v>
      </c>
      <c r="D5" s="8" t="s">
        <v>116</v>
      </c>
      <c r="E5" s="45"/>
    </row>
    <row r="6" spans="1:8" ht="32" x14ac:dyDescent="0.2">
      <c r="A6" s="82"/>
      <c r="B6" s="8" t="s">
        <v>119</v>
      </c>
      <c r="C6" s="8" t="s">
        <v>120</v>
      </c>
      <c r="D6" s="8" t="s">
        <v>121</v>
      </c>
      <c r="E6" s="45"/>
    </row>
    <row r="7" spans="1:8" ht="77.25" customHeight="1" x14ac:dyDescent="0.2">
      <c r="A7" s="82"/>
      <c r="B7" s="8" t="s">
        <v>122</v>
      </c>
      <c r="C7" s="8" t="s">
        <v>123</v>
      </c>
      <c r="D7" s="8" t="s">
        <v>124</v>
      </c>
      <c r="E7" s="45"/>
    </row>
    <row r="8" spans="1:8" ht="21" customHeight="1" x14ac:dyDescent="0.2">
      <c r="A8" s="69" t="s">
        <v>254</v>
      </c>
      <c r="B8" s="69" t="s">
        <v>254</v>
      </c>
      <c r="C8" s="69" t="s">
        <v>254</v>
      </c>
      <c r="D8" s="69" t="s">
        <v>254</v>
      </c>
      <c r="E8" s="45"/>
    </row>
    <row r="9" spans="1:8" ht="27.75" customHeight="1" x14ac:dyDescent="0.2">
      <c r="A9" s="69"/>
      <c r="B9" s="69" t="s">
        <v>254</v>
      </c>
      <c r="C9" s="69" t="s">
        <v>254</v>
      </c>
      <c r="D9" s="69" t="s">
        <v>254</v>
      </c>
      <c r="E9" s="45"/>
    </row>
    <row r="10" spans="1:8" ht="27.75" customHeight="1" x14ac:dyDescent="0.2">
      <c r="A10" s="69"/>
      <c r="B10" s="8"/>
      <c r="C10" s="8"/>
      <c r="D10" s="8"/>
      <c r="E10" s="45"/>
    </row>
    <row r="11" spans="1:8" ht="27.75" customHeight="1" x14ac:dyDescent="0.2">
      <c r="A11" s="69"/>
      <c r="B11" s="8"/>
      <c r="C11" s="8"/>
      <c r="D11" s="8"/>
      <c r="E11" s="45"/>
    </row>
    <row r="12" spans="1:8" ht="27.75" customHeight="1" x14ac:dyDescent="0.2">
      <c r="A12" s="69"/>
      <c r="B12" s="8"/>
      <c r="C12" s="8"/>
      <c r="D12" s="8"/>
      <c r="E12" s="45"/>
    </row>
    <row r="13" spans="1:8" ht="27.75" customHeight="1" x14ac:dyDescent="0.2">
      <c r="A13" s="69"/>
      <c r="B13" s="8"/>
      <c r="C13" s="8"/>
      <c r="D13" s="8"/>
      <c r="E13" s="45"/>
    </row>
    <row r="14" spans="1:8" ht="27.75" customHeight="1" x14ac:dyDescent="0.2">
      <c r="A14" s="69"/>
      <c r="B14" s="8"/>
      <c r="C14" s="8"/>
      <c r="D14" s="8"/>
      <c r="E14" s="45"/>
    </row>
    <row r="15" spans="1:8" ht="27.75" customHeight="1" x14ac:dyDescent="0.2">
      <c r="A15" s="69"/>
      <c r="B15" s="8"/>
      <c r="C15" s="8"/>
      <c r="D15" s="8"/>
      <c r="E15" s="45"/>
    </row>
    <row r="17" spans="1:15" x14ac:dyDescent="0.2">
      <c r="A17" s="4" t="s">
        <v>125</v>
      </c>
    </row>
    <row r="18" spans="1:15" x14ac:dyDescent="0.2">
      <c r="A18" s="4"/>
      <c r="E18" s="77" t="s">
        <v>138</v>
      </c>
      <c r="F18" s="77"/>
      <c r="G18" s="77"/>
      <c r="H18" s="77"/>
      <c r="I18" s="77"/>
      <c r="J18" s="77"/>
      <c r="K18" s="77"/>
      <c r="L18" s="77"/>
      <c r="M18" s="77"/>
    </row>
    <row r="19" spans="1:15" ht="16" x14ac:dyDescent="0.2">
      <c r="D19" s="46" t="s">
        <v>130</v>
      </c>
      <c r="E19" s="78" t="s">
        <v>126</v>
      </c>
      <c r="F19" s="78"/>
      <c r="G19" s="47"/>
      <c r="H19" s="78" t="s">
        <v>132</v>
      </c>
      <c r="I19" s="78"/>
      <c r="J19" s="47"/>
      <c r="K19" s="79" t="s">
        <v>133</v>
      </c>
      <c r="L19" s="79"/>
      <c r="M19" s="48"/>
      <c r="N19" s="34"/>
    </row>
    <row r="20" spans="1:15" ht="32" x14ac:dyDescent="0.2">
      <c r="A20" s="35" t="s">
        <v>32</v>
      </c>
      <c r="B20" s="35"/>
      <c r="C20" s="36" t="s">
        <v>134</v>
      </c>
      <c r="D20" s="46" t="s">
        <v>131</v>
      </c>
      <c r="E20" s="46" t="s">
        <v>127</v>
      </c>
      <c r="F20" s="46" t="s">
        <v>128</v>
      </c>
      <c r="G20" s="46" t="s">
        <v>136</v>
      </c>
      <c r="H20" s="46" t="s">
        <v>127</v>
      </c>
      <c r="I20" s="46" t="s">
        <v>128</v>
      </c>
      <c r="J20" s="46" t="s">
        <v>136</v>
      </c>
      <c r="K20" s="46" t="s">
        <v>127</v>
      </c>
      <c r="L20" s="46" t="s">
        <v>128</v>
      </c>
      <c r="M20" s="46" t="s">
        <v>136</v>
      </c>
      <c r="N20" s="46" t="s">
        <v>139</v>
      </c>
      <c r="O20" s="46" t="s">
        <v>129</v>
      </c>
    </row>
    <row r="21" spans="1:15" ht="16" x14ac:dyDescent="0.2">
      <c r="A21" s="80" t="s">
        <v>33</v>
      </c>
      <c r="B21" s="80" t="s">
        <v>34</v>
      </c>
      <c r="C21" s="7" t="s">
        <v>47</v>
      </c>
      <c r="D21" s="8">
        <v>2.6</v>
      </c>
      <c r="E21" s="8">
        <v>2.6</v>
      </c>
      <c r="F21" s="8">
        <v>2.6</v>
      </c>
      <c r="G21" s="49">
        <f>(F21-E21)/E21</f>
        <v>0</v>
      </c>
      <c r="H21" s="8">
        <v>2.6</v>
      </c>
      <c r="I21" s="8">
        <v>2.6</v>
      </c>
      <c r="J21" s="49">
        <f>(I21-H21)/H21</f>
        <v>0</v>
      </c>
      <c r="K21" s="8">
        <v>2.6</v>
      </c>
      <c r="L21" s="8">
        <v>2.6</v>
      </c>
      <c r="M21" s="49">
        <f>(L21-K21)/K21</f>
        <v>0</v>
      </c>
      <c r="N21" s="9"/>
      <c r="O21" s="9"/>
    </row>
    <row r="22" spans="1:15" ht="16" x14ac:dyDescent="0.2">
      <c r="A22" s="80"/>
      <c r="B22" s="80"/>
      <c r="C22" s="7" t="s">
        <v>137</v>
      </c>
      <c r="D22" s="8">
        <v>2.7</v>
      </c>
      <c r="E22" s="8">
        <v>2.7</v>
      </c>
      <c r="F22" s="8">
        <v>2.7</v>
      </c>
      <c r="G22" s="49">
        <f t="shared" ref="G22:G46" si="0">(F22-E22)/E22</f>
        <v>0</v>
      </c>
      <c r="H22" s="8">
        <v>2.7</v>
      </c>
      <c r="I22" s="8">
        <v>2.7</v>
      </c>
      <c r="J22" s="49">
        <f t="shared" ref="J22:J46" si="1">(I22-H22)/H22</f>
        <v>0</v>
      </c>
      <c r="K22" s="8">
        <v>2.7</v>
      </c>
      <c r="L22" s="8">
        <v>2.7</v>
      </c>
      <c r="M22" s="49">
        <f t="shared" ref="M22:M45" si="2">(L22-K22)/K22</f>
        <v>0</v>
      </c>
      <c r="N22" s="9"/>
      <c r="O22" s="9"/>
    </row>
    <row r="23" spans="1:15" ht="48" x14ac:dyDescent="0.2">
      <c r="A23" s="80"/>
      <c r="B23" s="80" t="s">
        <v>35</v>
      </c>
      <c r="C23" s="58" t="s">
        <v>48</v>
      </c>
      <c r="D23" s="8">
        <v>2.6</v>
      </c>
      <c r="E23" s="8">
        <v>2.9</v>
      </c>
      <c r="F23" s="8">
        <v>2.9</v>
      </c>
      <c r="G23" s="49">
        <f t="shared" si="0"/>
        <v>0</v>
      </c>
      <c r="H23" s="8">
        <v>3</v>
      </c>
      <c r="I23" s="8">
        <v>2.9</v>
      </c>
      <c r="J23" s="49">
        <f t="shared" si="1"/>
        <v>-3.3333333333333361E-2</v>
      </c>
      <c r="K23" s="8">
        <v>2.7</v>
      </c>
      <c r="L23" s="8">
        <v>2.7</v>
      </c>
      <c r="M23" s="49">
        <f t="shared" si="2"/>
        <v>0</v>
      </c>
      <c r="N23" s="8" t="s">
        <v>140</v>
      </c>
      <c r="O23" s="8" t="s">
        <v>141</v>
      </c>
    </row>
    <row r="24" spans="1:15" ht="16" x14ac:dyDescent="0.2">
      <c r="A24" s="80"/>
      <c r="B24" s="80"/>
      <c r="C24" s="7" t="s">
        <v>49</v>
      </c>
      <c r="D24" s="8">
        <v>2.8</v>
      </c>
      <c r="E24" s="8">
        <v>2.8</v>
      </c>
      <c r="F24" s="8">
        <v>2.8</v>
      </c>
      <c r="G24" s="49">
        <f t="shared" si="0"/>
        <v>0</v>
      </c>
      <c r="H24" s="8">
        <v>2.8</v>
      </c>
      <c r="I24" s="8">
        <v>2.8</v>
      </c>
      <c r="J24" s="49">
        <f t="shared" si="1"/>
        <v>0</v>
      </c>
      <c r="K24" s="8">
        <v>2.8</v>
      </c>
      <c r="L24" s="8">
        <v>2.8</v>
      </c>
      <c r="M24" s="49">
        <f t="shared" si="2"/>
        <v>0</v>
      </c>
      <c r="N24" s="12"/>
      <c r="O24" s="12"/>
    </row>
    <row r="25" spans="1:15" ht="48" x14ac:dyDescent="0.2">
      <c r="A25" s="80"/>
      <c r="B25" s="7" t="s">
        <v>36</v>
      </c>
      <c r="C25" s="58" t="s">
        <v>50</v>
      </c>
      <c r="D25" s="8">
        <v>2.8</v>
      </c>
      <c r="E25" s="8">
        <v>2.8</v>
      </c>
      <c r="F25" s="8">
        <v>2.8</v>
      </c>
      <c r="G25" s="49">
        <f t="shared" si="0"/>
        <v>0</v>
      </c>
      <c r="H25" s="8">
        <v>3</v>
      </c>
      <c r="I25" s="8">
        <v>2.8</v>
      </c>
      <c r="J25" s="49">
        <f t="shared" si="1"/>
        <v>-6.6666666666666721E-2</v>
      </c>
      <c r="K25" s="8">
        <v>2.7</v>
      </c>
      <c r="L25" s="8">
        <v>2.7</v>
      </c>
      <c r="M25" s="49">
        <f t="shared" si="2"/>
        <v>0</v>
      </c>
      <c r="N25" s="8" t="s">
        <v>142</v>
      </c>
      <c r="O25" s="8" t="s">
        <v>143</v>
      </c>
    </row>
    <row r="26" spans="1:15" ht="16" x14ac:dyDescent="0.2">
      <c r="A26" s="39"/>
      <c r="B26" s="39"/>
      <c r="C26" s="40" t="s">
        <v>135</v>
      </c>
      <c r="D26" s="54">
        <f>SUM(D21:D25)</f>
        <v>13.5</v>
      </c>
      <c r="E26" s="52">
        <f>SUM(E21:E25)</f>
        <v>13.8</v>
      </c>
      <c r="F26" s="52">
        <f>SUM(F21:F25)</f>
        <v>13.8</v>
      </c>
      <c r="G26" s="53">
        <f t="shared" si="0"/>
        <v>0</v>
      </c>
      <c r="H26" s="52">
        <f>SUM(H21:H25)</f>
        <v>14.100000000000001</v>
      </c>
      <c r="I26" s="52">
        <f>SUM(I21:I25)</f>
        <v>13.8</v>
      </c>
      <c r="J26" s="53">
        <f t="shared" si="1"/>
        <v>-2.1276595744680899E-2</v>
      </c>
      <c r="K26" s="52">
        <f>SUM(K21:K25)</f>
        <v>13.5</v>
      </c>
      <c r="L26" s="52">
        <f>SUM(L21:L25)</f>
        <v>13.5</v>
      </c>
      <c r="M26" s="53">
        <f t="shared" si="2"/>
        <v>0</v>
      </c>
      <c r="N26" s="12"/>
      <c r="O26" s="12"/>
    </row>
    <row r="27" spans="1:15" ht="16" x14ac:dyDescent="0.2">
      <c r="A27" s="81" t="s">
        <v>45</v>
      </c>
      <c r="B27" s="80" t="s">
        <v>37</v>
      </c>
      <c r="C27" s="7" t="s">
        <v>51</v>
      </c>
      <c r="D27" s="8">
        <v>1.1499999999999999</v>
      </c>
      <c r="E27" s="8">
        <v>1.35</v>
      </c>
      <c r="F27" s="8">
        <v>1.35</v>
      </c>
      <c r="G27" s="49">
        <f t="shared" si="0"/>
        <v>0</v>
      </c>
      <c r="H27" s="8">
        <v>1.35</v>
      </c>
      <c r="I27" s="8">
        <v>1.1499999999999999</v>
      </c>
      <c r="J27" s="51">
        <f t="shared" si="1"/>
        <v>-0.14814814814814828</v>
      </c>
      <c r="K27" s="8">
        <v>1.45</v>
      </c>
      <c r="L27" s="8">
        <v>1.45</v>
      </c>
      <c r="M27" s="49">
        <f t="shared" si="2"/>
        <v>0</v>
      </c>
      <c r="N27" s="9"/>
      <c r="O27" s="9"/>
    </row>
    <row r="28" spans="1:15" ht="16" x14ac:dyDescent="0.2">
      <c r="A28" s="81"/>
      <c r="B28" s="80"/>
      <c r="C28" s="7" t="s">
        <v>52</v>
      </c>
      <c r="D28" s="8">
        <v>1.25</v>
      </c>
      <c r="E28" s="8">
        <v>1.25</v>
      </c>
      <c r="F28" s="8">
        <v>1.25</v>
      </c>
      <c r="G28" s="49">
        <f t="shared" si="0"/>
        <v>0</v>
      </c>
      <c r="H28" s="8">
        <v>1.25</v>
      </c>
      <c r="I28" s="8">
        <v>1.25</v>
      </c>
      <c r="J28" s="51">
        <f t="shared" si="1"/>
        <v>0</v>
      </c>
      <c r="K28" s="8">
        <v>1.35</v>
      </c>
      <c r="L28" s="8">
        <v>1.35</v>
      </c>
      <c r="M28" s="49">
        <f t="shared" si="2"/>
        <v>0</v>
      </c>
      <c r="N28" s="9"/>
      <c r="O28" s="9"/>
    </row>
    <row r="29" spans="1:15" ht="16" x14ac:dyDescent="0.2">
      <c r="A29" s="81"/>
      <c r="B29" s="80"/>
      <c r="C29" s="7" t="s">
        <v>53</v>
      </c>
      <c r="D29" s="8">
        <v>1</v>
      </c>
      <c r="E29" s="8">
        <v>1</v>
      </c>
      <c r="F29" s="8">
        <v>1</v>
      </c>
      <c r="G29" s="49">
        <f t="shared" si="0"/>
        <v>0</v>
      </c>
      <c r="H29" s="8">
        <v>1</v>
      </c>
      <c r="I29" s="8">
        <v>1</v>
      </c>
      <c r="J29" s="51">
        <f t="shared" si="1"/>
        <v>0</v>
      </c>
      <c r="K29" s="8">
        <v>1</v>
      </c>
      <c r="L29" s="8">
        <v>1</v>
      </c>
      <c r="M29" s="49">
        <f t="shared" si="2"/>
        <v>0</v>
      </c>
      <c r="N29" s="9"/>
      <c r="O29" s="9"/>
    </row>
    <row r="30" spans="1:15" ht="16" x14ac:dyDescent="0.2">
      <c r="A30" s="81"/>
      <c r="B30" s="80" t="s">
        <v>38</v>
      </c>
      <c r="C30" s="7" t="s">
        <v>54</v>
      </c>
      <c r="D30" s="8">
        <v>1.25</v>
      </c>
      <c r="E30" s="8">
        <v>1.25</v>
      </c>
      <c r="F30" s="8">
        <v>1.25</v>
      </c>
      <c r="G30" s="49">
        <f t="shared" si="0"/>
        <v>0</v>
      </c>
      <c r="H30" s="8">
        <v>1.25</v>
      </c>
      <c r="I30" s="8">
        <v>1.25</v>
      </c>
      <c r="J30" s="51">
        <f t="shared" si="1"/>
        <v>0</v>
      </c>
      <c r="K30" s="8">
        <v>1.25</v>
      </c>
      <c r="L30" s="8">
        <v>1.25</v>
      </c>
      <c r="M30" s="49">
        <f t="shared" si="2"/>
        <v>0</v>
      </c>
      <c r="N30" s="9"/>
      <c r="O30" s="9"/>
    </row>
    <row r="31" spans="1:15" ht="16" x14ac:dyDescent="0.2">
      <c r="A31" s="81"/>
      <c r="B31" s="80"/>
      <c r="C31" s="7" t="s">
        <v>55</v>
      </c>
      <c r="D31" s="8">
        <v>1</v>
      </c>
      <c r="E31" s="8">
        <v>1.3</v>
      </c>
      <c r="F31" s="8">
        <v>1.3</v>
      </c>
      <c r="G31" s="49">
        <f t="shared" si="0"/>
        <v>0</v>
      </c>
      <c r="H31" s="8">
        <v>1</v>
      </c>
      <c r="I31" s="8">
        <v>1</v>
      </c>
      <c r="J31" s="51">
        <f t="shared" si="1"/>
        <v>0</v>
      </c>
      <c r="K31" s="8">
        <v>1</v>
      </c>
      <c r="L31" s="8">
        <v>1</v>
      </c>
      <c r="M31" s="49">
        <f t="shared" si="2"/>
        <v>0</v>
      </c>
      <c r="N31" s="9"/>
      <c r="O31" s="9"/>
    </row>
    <row r="32" spans="1:15" ht="16" x14ac:dyDescent="0.2">
      <c r="A32" s="81"/>
      <c r="B32" s="80"/>
      <c r="C32" s="7" t="s">
        <v>56</v>
      </c>
      <c r="D32" s="8">
        <v>0.5</v>
      </c>
      <c r="E32" s="8">
        <v>0.5</v>
      </c>
      <c r="F32" s="8">
        <v>0.5</v>
      </c>
      <c r="G32" s="49">
        <f t="shared" si="0"/>
        <v>0</v>
      </c>
      <c r="H32" s="8">
        <v>0.5</v>
      </c>
      <c r="I32" s="8">
        <v>0.5</v>
      </c>
      <c r="J32" s="51">
        <f t="shared" si="1"/>
        <v>0</v>
      </c>
      <c r="K32" s="8">
        <v>0.5</v>
      </c>
      <c r="L32" s="8">
        <v>0.5</v>
      </c>
      <c r="M32" s="49">
        <f t="shared" si="2"/>
        <v>0</v>
      </c>
      <c r="N32" s="9"/>
      <c r="O32" s="9"/>
    </row>
    <row r="33" spans="1:15" ht="16" x14ac:dyDescent="0.2">
      <c r="A33" s="81"/>
      <c r="B33" s="7" t="s">
        <v>62</v>
      </c>
      <c r="C33" s="7" t="s">
        <v>63</v>
      </c>
      <c r="D33" s="8">
        <v>1.3</v>
      </c>
      <c r="E33" s="8">
        <v>1.3</v>
      </c>
      <c r="F33" s="8">
        <v>1.3</v>
      </c>
      <c r="G33" s="49">
        <f t="shared" si="0"/>
        <v>0</v>
      </c>
      <c r="H33" s="8">
        <v>1.3</v>
      </c>
      <c r="I33" s="8">
        <v>1.3</v>
      </c>
      <c r="J33" s="51">
        <f t="shared" si="1"/>
        <v>0</v>
      </c>
      <c r="K33" s="8">
        <v>1.3</v>
      </c>
      <c r="L33" s="8">
        <v>1.3</v>
      </c>
      <c r="M33" s="49">
        <f t="shared" si="2"/>
        <v>0</v>
      </c>
      <c r="N33" s="9"/>
      <c r="O33" s="9"/>
    </row>
    <row r="34" spans="1:15" ht="16" x14ac:dyDescent="0.2">
      <c r="A34" s="81"/>
      <c r="B34" s="80" t="s">
        <v>39</v>
      </c>
      <c r="C34" s="7" t="s">
        <v>57</v>
      </c>
      <c r="D34" s="8">
        <v>0.5</v>
      </c>
      <c r="E34" s="8">
        <v>0.5</v>
      </c>
      <c r="F34" s="8">
        <v>0.5</v>
      </c>
      <c r="G34" s="49">
        <f t="shared" si="0"/>
        <v>0</v>
      </c>
      <c r="H34" s="8">
        <v>0.5</v>
      </c>
      <c r="I34" s="8">
        <v>0.5</v>
      </c>
      <c r="J34" s="51">
        <f t="shared" si="1"/>
        <v>0</v>
      </c>
      <c r="K34" s="8">
        <v>0.5</v>
      </c>
      <c r="L34" s="8">
        <v>0.5</v>
      </c>
      <c r="M34" s="49">
        <f t="shared" si="2"/>
        <v>0</v>
      </c>
      <c r="N34" s="9"/>
      <c r="O34" s="9"/>
    </row>
    <row r="35" spans="1:15" ht="16" x14ac:dyDescent="0.2">
      <c r="A35" s="81"/>
      <c r="B35" s="80"/>
      <c r="C35" s="7" t="s">
        <v>58</v>
      </c>
      <c r="D35" s="8">
        <v>0.5</v>
      </c>
      <c r="E35" s="8">
        <v>0.5</v>
      </c>
      <c r="F35" s="8">
        <v>0.5</v>
      </c>
      <c r="G35" s="49">
        <f t="shared" si="0"/>
        <v>0</v>
      </c>
      <c r="H35" s="8">
        <v>0.5</v>
      </c>
      <c r="I35" s="8">
        <v>0.5</v>
      </c>
      <c r="J35" s="51">
        <f t="shared" si="1"/>
        <v>0</v>
      </c>
      <c r="K35" s="8">
        <v>0.5</v>
      </c>
      <c r="L35" s="8">
        <v>0.5</v>
      </c>
      <c r="M35" s="49">
        <f t="shared" si="2"/>
        <v>0</v>
      </c>
      <c r="N35" s="9"/>
      <c r="O35" s="9"/>
    </row>
    <row r="36" spans="1:15" ht="16" x14ac:dyDescent="0.2">
      <c r="A36" s="81"/>
      <c r="B36" s="80"/>
      <c r="C36" s="7" t="s">
        <v>64</v>
      </c>
      <c r="D36" s="8">
        <v>0.5</v>
      </c>
      <c r="E36" s="8">
        <v>0.5</v>
      </c>
      <c r="F36" s="8">
        <v>0.5</v>
      </c>
      <c r="G36" s="49">
        <f t="shared" si="0"/>
        <v>0</v>
      </c>
      <c r="H36" s="8">
        <v>0.5</v>
      </c>
      <c r="I36" s="8">
        <v>0.5</v>
      </c>
      <c r="J36" s="51">
        <f t="shared" si="1"/>
        <v>0</v>
      </c>
      <c r="K36" s="8">
        <v>0.5</v>
      </c>
      <c r="L36" s="8">
        <v>0.5</v>
      </c>
      <c r="M36" s="49">
        <f t="shared" si="2"/>
        <v>0</v>
      </c>
      <c r="N36" s="9"/>
      <c r="O36" s="9"/>
    </row>
    <row r="37" spans="1:15" ht="16" x14ac:dyDescent="0.2">
      <c r="A37" s="41"/>
      <c r="B37" s="39"/>
      <c r="C37" s="40" t="s">
        <v>135</v>
      </c>
      <c r="D37" s="54">
        <f>SUM(D27:D36)</f>
        <v>8.9499999999999993</v>
      </c>
      <c r="E37" s="52">
        <f>SUM(E27:E36)</f>
        <v>9.4499999999999993</v>
      </c>
      <c r="F37" s="52">
        <f>SUM(F27:F36)</f>
        <v>9.4499999999999993</v>
      </c>
      <c r="G37" s="53">
        <f t="shared" si="0"/>
        <v>0</v>
      </c>
      <c r="H37" s="52">
        <f>SUM(H27:H36)</f>
        <v>9.1499999999999986</v>
      </c>
      <c r="I37" s="52">
        <f>SUM(I27:I36)</f>
        <v>8.9499999999999993</v>
      </c>
      <c r="J37" s="53">
        <f t="shared" si="1"/>
        <v>-2.1857923497267687E-2</v>
      </c>
      <c r="K37" s="52">
        <f>SUM(K27:K36)</f>
        <v>9.35</v>
      </c>
      <c r="L37" s="52">
        <f>SUM(L27:L36)</f>
        <v>9.35</v>
      </c>
      <c r="M37" s="53">
        <f t="shared" si="2"/>
        <v>0</v>
      </c>
      <c r="N37" s="9"/>
      <c r="O37" s="9"/>
    </row>
    <row r="38" spans="1:15" ht="16" x14ac:dyDescent="0.2">
      <c r="A38" s="81" t="s">
        <v>46</v>
      </c>
      <c r="B38" s="80" t="s">
        <v>40</v>
      </c>
      <c r="C38" s="7" t="s">
        <v>59</v>
      </c>
      <c r="D38" s="8">
        <v>0.2</v>
      </c>
      <c r="E38" s="8">
        <v>0.2</v>
      </c>
      <c r="F38" s="8">
        <v>0.2</v>
      </c>
      <c r="G38" s="49">
        <f t="shared" si="0"/>
        <v>0</v>
      </c>
      <c r="H38" s="8">
        <v>0.2</v>
      </c>
      <c r="I38" s="8">
        <v>0.2</v>
      </c>
      <c r="J38" s="51">
        <f t="shared" si="1"/>
        <v>0</v>
      </c>
      <c r="K38" s="8">
        <v>0.2</v>
      </c>
      <c r="L38" s="8">
        <v>0.2</v>
      </c>
      <c r="M38" s="49">
        <f t="shared" si="2"/>
        <v>0</v>
      </c>
      <c r="N38" s="9"/>
      <c r="O38" s="9"/>
    </row>
    <row r="39" spans="1:15" ht="16" x14ac:dyDescent="0.2">
      <c r="A39" s="81"/>
      <c r="B39" s="80"/>
      <c r="C39" s="7" t="s">
        <v>60</v>
      </c>
      <c r="D39" s="8">
        <v>0.2</v>
      </c>
      <c r="E39" s="8">
        <v>0.2</v>
      </c>
      <c r="F39" s="8">
        <v>0.2</v>
      </c>
      <c r="G39" s="49">
        <f t="shared" si="0"/>
        <v>0</v>
      </c>
      <c r="H39" s="8">
        <v>0.2</v>
      </c>
      <c r="I39" s="8">
        <v>0.2</v>
      </c>
      <c r="J39" s="51">
        <f t="shared" si="1"/>
        <v>0</v>
      </c>
      <c r="K39" s="8">
        <v>0.2</v>
      </c>
      <c r="L39" s="8">
        <v>0.2</v>
      </c>
      <c r="M39" s="49">
        <f t="shared" si="2"/>
        <v>0</v>
      </c>
      <c r="N39" s="9"/>
      <c r="O39" s="9"/>
    </row>
    <row r="40" spans="1:15" ht="16" x14ac:dyDescent="0.2">
      <c r="A40" s="81"/>
      <c r="B40" s="80" t="s">
        <v>41</v>
      </c>
      <c r="C40" s="7" t="s">
        <v>61</v>
      </c>
      <c r="D40" s="8">
        <v>0.2</v>
      </c>
      <c r="E40" s="8">
        <v>0.2</v>
      </c>
      <c r="F40" s="8">
        <v>0.2</v>
      </c>
      <c r="G40" s="49">
        <f t="shared" si="0"/>
        <v>0</v>
      </c>
      <c r="H40" s="8">
        <v>0.2</v>
      </c>
      <c r="I40" s="8">
        <v>0.2</v>
      </c>
      <c r="J40" s="51">
        <f t="shared" si="1"/>
        <v>0</v>
      </c>
      <c r="K40" s="8">
        <v>0.2</v>
      </c>
      <c r="L40" s="8">
        <v>0.2</v>
      </c>
      <c r="M40" s="49">
        <f t="shared" si="2"/>
        <v>0</v>
      </c>
      <c r="N40" s="9"/>
      <c r="O40" s="9"/>
    </row>
    <row r="41" spans="1:15" ht="16" x14ac:dyDescent="0.2">
      <c r="A41" s="81"/>
      <c r="B41" s="80"/>
      <c r="C41" s="7" t="s">
        <v>65</v>
      </c>
      <c r="D41" s="8">
        <v>0.2</v>
      </c>
      <c r="E41" s="8">
        <v>0.2</v>
      </c>
      <c r="F41" s="8">
        <v>0.2</v>
      </c>
      <c r="G41" s="49">
        <f t="shared" si="0"/>
        <v>0</v>
      </c>
      <c r="H41" s="8">
        <v>0.2</v>
      </c>
      <c r="I41" s="8">
        <v>0.2</v>
      </c>
      <c r="J41" s="51">
        <f t="shared" si="1"/>
        <v>0</v>
      </c>
      <c r="K41" s="8">
        <v>0.2</v>
      </c>
      <c r="L41" s="8">
        <v>0.2</v>
      </c>
      <c r="M41" s="49">
        <f t="shared" si="2"/>
        <v>0</v>
      </c>
      <c r="N41" s="9"/>
      <c r="O41" s="9"/>
    </row>
    <row r="42" spans="1:15" ht="16" x14ac:dyDescent="0.2">
      <c r="A42" s="81"/>
      <c r="B42" s="80" t="s">
        <v>42</v>
      </c>
      <c r="C42" s="7" t="s">
        <v>66</v>
      </c>
      <c r="D42" s="8">
        <v>0.2</v>
      </c>
      <c r="E42" s="8">
        <v>0.2</v>
      </c>
      <c r="F42" s="8">
        <v>0.2</v>
      </c>
      <c r="G42" s="49">
        <f t="shared" si="0"/>
        <v>0</v>
      </c>
      <c r="H42" s="8">
        <v>0.2</v>
      </c>
      <c r="I42" s="8">
        <v>0.2</v>
      </c>
      <c r="J42" s="51">
        <f t="shared" si="1"/>
        <v>0</v>
      </c>
      <c r="K42" s="8">
        <v>0.2</v>
      </c>
      <c r="L42" s="8">
        <v>0.2</v>
      </c>
      <c r="M42" s="49">
        <f t="shared" si="2"/>
        <v>0</v>
      </c>
      <c r="N42" s="9"/>
      <c r="O42" s="9"/>
    </row>
    <row r="43" spans="1:15" ht="16" x14ac:dyDescent="0.2">
      <c r="A43" s="81"/>
      <c r="B43" s="80"/>
      <c r="C43" s="7" t="s">
        <v>67</v>
      </c>
      <c r="D43" s="8">
        <v>0.2</v>
      </c>
      <c r="E43" s="8">
        <v>0.2</v>
      </c>
      <c r="F43" s="8">
        <v>0.2</v>
      </c>
      <c r="G43" s="49">
        <f t="shared" si="0"/>
        <v>0</v>
      </c>
      <c r="H43" s="8">
        <v>0.2</v>
      </c>
      <c r="I43" s="8">
        <v>0.2</v>
      </c>
      <c r="J43" s="51">
        <f t="shared" si="1"/>
        <v>0</v>
      </c>
      <c r="K43" s="8">
        <v>0.2</v>
      </c>
      <c r="L43" s="8">
        <v>0.2</v>
      </c>
      <c r="M43" s="49">
        <f t="shared" si="2"/>
        <v>0</v>
      </c>
      <c r="N43" s="9"/>
      <c r="O43" s="9"/>
    </row>
    <row r="44" spans="1:15" ht="16" x14ac:dyDescent="0.2">
      <c r="A44" s="81"/>
      <c r="B44" s="7" t="s">
        <v>43</v>
      </c>
      <c r="C44" s="7" t="s">
        <v>68</v>
      </c>
      <c r="D44" s="8">
        <v>0.2</v>
      </c>
      <c r="E44" s="8">
        <v>0.2</v>
      </c>
      <c r="F44" s="8">
        <v>0.2</v>
      </c>
      <c r="G44" s="49">
        <f t="shared" si="0"/>
        <v>0</v>
      </c>
      <c r="H44" s="8">
        <v>0.2</v>
      </c>
      <c r="I44" s="8">
        <v>0.2</v>
      </c>
      <c r="J44" s="51">
        <f t="shared" si="1"/>
        <v>0</v>
      </c>
      <c r="K44" s="8">
        <v>0.2</v>
      </c>
      <c r="L44" s="8">
        <v>0.2</v>
      </c>
      <c r="M44" s="49">
        <f t="shared" si="2"/>
        <v>0</v>
      </c>
      <c r="N44" s="9"/>
      <c r="O44" s="9"/>
    </row>
    <row r="45" spans="1:15" ht="16" x14ac:dyDescent="0.2">
      <c r="A45" s="41"/>
      <c r="B45" s="39"/>
      <c r="C45" s="40" t="s">
        <v>135</v>
      </c>
      <c r="D45" s="50">
        <f>SUM(D38:D44)</f>
        <v>1.4</v>
      </c>
      <c r="E45" s="8">
        <f>SUM(E38:E44)</f>
        <v>1.4</v>
      </c>
      <c r="F45" s="8">
        <f>SUM(F38:F44)</f>
        <v>1.4</v>
      </c>
      <c r="G45" s="49">
        <f t="shared" si="0"/>
        <v>0</v>
      </c>
      <c r="H45" s="50">
        <f>SUM(H38:H44)</f>
        <v>1.4</v>
      </c>
      <c r="I45" s="50">
        <f>SUM(I38:I44)</f>
        <v>1.4</v>
      </c>
      <c r="J45" s="51">
        <f t="shared" si="1"/>
        <v>0</v>
      </c>
      <c r="K45" s="50">
        <f>SUM(K38:K44)</f>
        <v>1.4</v>
      </c>
      <c r="L45" s="50">
        <f>SUM(L38:L44)</f>
        <v>1.4</v>
      </c>
      <c r="M45" s="49">
        <f t="shared" si="2"/>
        <v>0</v>
      </c>
      <c r="N45" s="9"/>
      <c r="O45" s="64"/>
    </row>
    <row r="46" spans="1:15" ht="48" x14ac:dyDescent="0.2">
      <c r="A46" s="42"/>
      <c r="B46" s="43"/>
      <c r="C46" s="44" t="s">
        <v>69</v>
      </c>
      <c r="D46" s="57">
        <f>SUM(D26,D37,D45)</f>
        <v>23.849999999999998</v>
      </c>
      <c r="E46" s="55">
        <f>SUM(E26,E37,E45)</f>
        <v>24.65</v>
      </c>
      <c r="F46" s="55">
        <f>SUM(F26,F37,F45)</f>
        <v>24.65</v>
      </c>
      <c r="G46" s="56">
        <f t="shared" si="0"/>
        <v>0</v>
      </c>
      <c r="H46" s="55">
        <f>SUM(H26,H37,H45)</f>
        <v>24.65</v>
      </c>
      <c r="I46" s="55">
        <f>SUM(I26,I37,I45)</f>
        <v>24.15</v>
      </c>
      <c r="J46" s="56">
        <f t="shared" si="1"/>
        <v>-2.0283975659229209E-2</v>
      </c>
      <c r="K46" s="55">
        <f>SUM(K26,K37,K45)</f>
        <v>24.25</v>
      </c>
      <c r="L46" s="55">
        <f>SUM(L26,L37,L45)</f>
        <v>24.25</v>
      </c>
      <c r="M46" s="56">
        <f>(L46-K46)/K46</f>
        <v>0</v>
      </c>
      <c r="N46" s="64" t="s">
        <v>149</v>
      </c>
      <c r="O46" s="64" t="s">
        <v>150</v>
      </c>
    </row>
    <row r="48" spans="1:15" x14ac:dyDescent="0.2">
      <c r="H48" s="45"/>
      <c r="I48" s="45"/>
      <c r="J48" s="45"/>
      <c r="K48" s="11" t="s">
        <v>144</v>
      </c>
      <c r="L48" s="8"/>
      <c r="M48" s="8"/>
    </row>
    <row r="49" spans="8:13" x14ac:dyDescent="0.2">
      <c r="H49" s="45"/>
      <c r="I49" s="45"/>
      <c r="J49" s="45"/>
      <c r="K49" s="46">
        <v>2021</v>
      </c>
      <c r="L49" s="46">
        <v>2022</v>
      </c>
      <c r="M49" s="46">
        <v>2023</v>
      </c>
    </row>
    <row r="50" spans="8:13" x14ac:dyDescent="0.2">
      <c r="H50" s="60" t="s">
        <v>145</v>
      </c>
      <c r="I50" s="61"/>
      <c r="J50" s="62"/>
      <c r="K50" s="8">
        <v>15.4</v>
      </c>
      <c r="L50" s="8">
        <v>36.1</v>
      </c>
      <c r="M50" s="8">
        <v>47.5</v>
      </c>
    </row>
    <row r="51" spans="8:13" x14ac:dyDescent="0.2">
      <c r="H51" s="16"/>
      <c r="I51" s="38" t="s">
        <v>146</v>
      </c>
      <c r="J51" s="63"/>
      <c r="K51" s="49">
        <v>0.27400000000000002</v>
      </c>
      <c r="L51" s="49">
        <v>0.3</v>
      </c>
      <c r="M51" s="49">
        <v>0.33500000000000002</v>
      </c>
    </row>
    <row r="52" spans="8:13" x14ac:dyDescent="0.2">
      <c r="H52" s="38" t="s">
        <v>147</v>
      </c>
      <c r="I52" s="38"/>
      <c r="J52" s="63"/>
      <c r="K52" s="59">
        <f>K50*K51</f>
        <v>4.2196000000000007</v>
      </c>
      <c r="L52" s="59">
        <f>L50*L51</f>
        <v>10.83</v>
      </c>
      <c r="M52" s="59">
        <f t="shared" ref="M52" si="3">M50*M51</f>
        <v>15.912500000000001</v>
      </c>
    </row>
    <row r="53" spans="8:13" x14ac:dyDescent="0.2">
      <c r="H53" s="16"/>
      <c r="I53" s="38" t="s">
        <v>148</v>
      </c>
      <c r="J53" s="63"/>
      <c r="K53" s="8"/>
      <c r="L53" s="49">
        <f>(L52-K52)/K52</f>
        <v>1.5665939899516539</v>
      </c>
      <c r="M53" s="49">
        <f>(M52-L52)/L52</f>
        <v>0.46929824561403521</v>
      </c>
    </row>
    <row r="54" spans="8:13" x14ac:dyDescent="0.2">
      <c r="J54" s="1" t="s">
        <v>151</v>
      </c>
    </row>
  </sheetData>
  <mergeCells count="16">
    <mergeCell ref="A4:A7"/>
    <mergeCell ref="B21:B22"/>
    <mergeCell ref="B23:B24"/>
    <mergeCell ref="B27:B29"/>
    <mergeCell ref="B30:B32"/>
    <mergeCell ref="B40:B41"/>
    <mergeCell ref="B42:B43"/>
    <mergeCell ref="A21:A25"/>
    <mergeCell ref="A27:A36"/>
    <mergeCell ref="A38:A44"/>
    <mergeCell ref="B34:B36"/>
    <mergeCell ref="E18:M18"/>
    <mergeCell ref="E19:F19"/>
    <mergeCell ref="K19:L19"/>
    <mergeCell ref="H19:I19"/>
    <mergeCell ref="B38:B39"/>
  </mergeCells>
  <conditionalFormatting sqref="D23:M23">
    <cfRule type="top10" dxfId="3" priority="4" rank="1"/>
  </conditionalFormatting>
  <conditionalFormatting sqref="A25:B25 D25:M25 O25:XFD25">
    <cfRule type="top10" dxfId="2" priority="3" rank="1"/>
  </conditionalFormatting>
  <conditionalFormatting sqref="A27:XFD27">
    <cfRule type="top10" dxfId="1" priority="2" bottom="1" rank="1"/>
  </conditionalFormatting>
  <conditionalFormatting sqref="E46:F46 H46:I46 K46:L46">
    <cfRule type="top10" dxfId="0" priority="1" bottom="1" rank="1"/>
  </conditionalFormatting>
  <pageMargins left="0.7" right="0.7" top="0.75" bottom="0.75" header="0.3" footer="0.3"/>
  <pageSetup paperSize="9" orientation="portrait" horizontalDpi="300" verticalDpi="30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4"/>
  <sheetViews>
    <sheetView topLeftCell="A25" zoomScale="90" zoomScaleNormal="90" workbookViewId="0">
      <selection activeCell="F9" sqref="F9"/>
    </sheetView>
  </sheetViews>
  <sheetFormatPr baseColWidth="10" defaultColWidth="9.1640625" defaultRowHeight="13" x14ac:dyDescent="0.15"/>
  <cols>
    <col min="1" max="1" width="5.1640625" style="17" customWidth="1"/>
    <col min="2" max="2" width="41.5" style="17" customWidth="1"/>
    <col min="3" max="5" width="30.6640625" style="23" customWidth="1"/>
    <col min="6" max="8" width="30.6640625" style="30" customWidth="1"/>
    <col min="9" max="9" width="9.1640625" style="17"/>
    <col min="10" max="10" width="18.83203125" style="17" customWidth="1"/>
    <col min="11" max="16384" width="9.1640625" style="17"/>
  </cols>
  <sheetData>
    <row r="1" spans="1:12" ht="15" x14ac:dyDescent="0.15">
      <c r="A1" s="3" t="s">
        <v>70</v>
      </c>
    </row>
    <row r="3" spans="1:12" x14ac:dyDescent="0.15">
      <c r="A3" s="18" t="s">
        <v>71</v>
      </c>
    </row>
    <row r="5" spans="1:12" ht="28" x14ac:dyDescent="0.15">
      <c r="A5" s="83" t="s">
        <v>72</v>
      </c>
      <c r="B5" s="83"/>
      <c r="C5" s="24" t="s">
        <v>92</v>
      </c>
      <c r="D5" s="24" t="s">
        <v>93</v>
      </c>
      <c r="E5" s="24" t="s">
        <v>94</v>
      </c>
      <c r="F5" s="31" t="s">
        <v>95</v>
      </c>
      <c r="G5" s="31" t="s">
        <v>106</v>
      </c>
      <c r="H5" s="31" t="s">
        <v>107</v>
      </c>
      <c r="L5" s="17" t="s">
        <v>189</v>
      </c>
    </row>
    <row r="6" spans="1:12" x14ac:dyDescent="0.15">
      <c r="A6" s="21">
        <v>1</v>
      </c>
      <c r="B6" s="27" t="s">
        <v>73</v>
      </c>
      <c r="C6" s="28"/>
      <c r="D6" s="28"/>
      <c r="E6" s="28"/>
      <c r="F6" s="29"/>
      <c r="G6" s="29"/>
      <c r="H6" s="29"/>
      <c r="L6" s="17" t="s">
        <v>32</v>
      </c>
    </row>
    <row r="7" spans="1:12" x14ac:dyDescent="0.15">
      <c r="A7" s="21">
        <v>2</v>
      </c>
      <c r="B7" s="27" t="s">
        <v>74</v>
      </c>
      <c r="C7" s="28"/>
      <c r="D7" s="28"/>
      <c r="E7" s="28"/>
      <c r="F7" s="29"/>
      <c r="G7" s="29"/>
      <c r="H7" s="29"/>
      <c r="L7" s="17" t="s">
        <v>190</v>
      </c>
    </row>
    <row r="8" spans="1:12" x14ac:dyDescent="0.15">
      <c r="A8" s="21">
        <v>3</v>
      </c>
      <c r="B8" s="27" t="s">
        <v>75</v>
      </c>
      <c r="C8" s="28"/>
      <c r="D8" s="28"/>
      <c r="E8" s="28"/>
      <c r="F8" s="29"/>
      <c r="G8" s="29"/>
      <c r="H8" s="29"/>
    </row>
    <row r="9" spans="1:12" x14ac:dyDescent="0.15">
      <c r="A9" s="21">
        <v>4</v>
      </c>
      <c r="B9" s="27" t="s">
        <v>76</v>
      </c>
      <c r="C9" s="28"/>
      <c r="D9" s="28"/>
      <c r="E9" s="28"/>
      <c r="F9" s="29"/>
      <c r="G9" s="29"/>
      <c r="H9" s="29"/>
      <c r="L9" s="17" t="s">
        <v>191</v>
      </c>
    </row>
    <row r="10" spans="1:12" ht="28" x14ac:dyDescent="0.15">
      <c r="A10" s="21">
        <v>5</v>
      </c>
      <c r="B10" s="27" t="s">
        <v>77</v>
      </c>
      <c r="C10" s="28" t="s">
        <v>246</v>
      </c>
      <c r="D10" s="28"/>
      <c r="E10" s="28"/>
      <c r="F10" s="29" t="s">
        <v>252</v>
      </c>
      <c r="G10" s="29" t="s">
        <v>253</v>
      </c>
      <c r="H10" s="29"/>
      <c r="L10" s="17" t="s">
        <v>192</v>
      </c>
    </row>
    <row r="11" spans="1:12" x14ac:dyDescent="0.15">
      <c r="A11" s="21">
        <v>6</v>
      </c>
      <c r="B11" s="27" t="s">
        <v>78</v>
      </c>
      <c r="C11" s="28"/>
      <c r="D11" s="28"/>
      <c r="E11" s="28"/>
      <c r="F11" s="29"/>
      <c r="G11" s="29"/>
      <c r="H11" s="29"/>
    </row>
    <row r="12" spans="1:12" x14ac:dyDescent="0.15">
      <c r="A12" s="21">
        <v>7</v>
      </c>
      <c r="B12" s="27" t="s">
        <v>79</v>
      </c>
      <c r="C12" s="28"/>
      <c r="D12" s="28"/>
      <c r="E12" s="28"/>
      <c r="F12" s="29"/>
      <c r="G12" s="29"/>
      <c r="H12" s="29"/>
    </row>
    <row r="13" spans="1:12" x14ac:dyDescent="0.15">
      <c r="A13" s="21">
        <v>8</v>
      </c>
      <c r="B13" s="27" t="s">
        <v>81</v>
      </c>
      <c r="C13" s="28"/>
      <c r="D13" s="28"/>
      <c r="E13" s="28"/>
      <c r="F13" s="29"/>
      <c r="G13" s="29"/>
      <c r="H13" s="29"/>
    </row>
    <row r="14" spans="1:12" x14ac:dyDescent="0.15">
      <c r="A14" s="21">
        <v>9</v>
      </c>
      <c r="B14" s="27" t="s">
        <v>80</v>
      </c>
      <c r="C14" s="28"/>
      <c r="D14" s="28"/>
      <c r="E14" s="28"/>
      <c r="F14" s="29"/>
      <c r="G14" s="29"/>
      <c r="H14" s="29"/>
    </row>
    <row r="15" spans="1:12" x14ac:dyDescent="0.15">
      <c r="A15" s="21">
        <v>10</v>
      </c>
      <c r="B15" s="27" t="s">
        <v>82</v>
      </c>
      <c r="C15" s="28"/>
      <c r="D15" s="28"/>
      <c r="E15" s="28"/>
      <c r="F15" s="29"/>
      <c r="G15" s="29"/>
      <c r="H15" s="29"/>
    </row>
    <row r="16" spans="1:12" x14ac:dyDescent="0.15">
      <c r="A16" s="21">
        <v>11</v>
      </c>
      <c r="B16" s="27" t="s">
        <v>83</v>
      </c>
      <c r="C16" s="28"/>
      <c r="D16" s="28"/>
      <c r="E16" s="28"/>
      <c r="F16" s="29"/>
      <c r="G16" s="29"/>
      <c r="H16" s="29"/>
    </row>
    <row r="17" spans="1:10" x14ac:dyDescent="0.15">
      <c r="A17" s="21">
        <v>12</v>
      </c>
      <c r="B17" s="27" t="s">
        <v>84</v>
      </c>
      <c r="C17" s="28"/>
      <c r="D17" s="28"/>
      <c r="E17" s="28"/>
      <c r="F17" s="29"/>
      <c r="G17" s="29"/>
      <c r="H17" s="29"/>
    </row>
    <row r="18" spans="1:10" x14ac:dyDescent="0.15">
      <c r="A18" s="21">
        <v>13</v>
      </c>
      <c r="B18" s="27" t="s">
        <v>96</v>
      </c>
      <c r="C18" s="28"/>
      <c r="D18" s="28"/>
      <c r="E18" s="28"/>
      <c r="F18" s="29"/>
      <c r="G18" s="29"/>
      <c r="H18" s="29"/>
    </row>
    <row r="19" spans="1:10" x14ac:dyDescent="0.15">
      <c r="A19" s="22" t="s">
        <v>85</v>
      </c>
      <c r="B19" s="19"/>
      <c r="C19" s="26"/>
      <c r="D19" s="26"/>
      <c r="E19" s="26"/>
      <c r="F19" s="32"/>
      <c r="G19" s="32"/>
      <c r="H19" s="32"/>
    </row>
    <row r="20" spans="1:10" x14ac:dyDescent="0.15">
      <c r="A20" s="21">
        <v>1</v>
      </c>
      <c r="B20" s="20" t="s">
        <v>86</v>
      </c>
      <c r="C20" s="25"/>
      <c r="D20" s="25"/>
      <c r="E20" s="25"/>
      <c r="F20" s="29"/>
      <c r="G20" s="29"/>
      <c r="H20" s="29"/>
    </row>
    <row r="21" spans="1:10" x14ac:dyDescent="0.15">
      <c r="A21" s="21">
        <v>2</v>
      </c>
      <c r="B21" s="27" t="s">
        <v>87</v>
      </c>
      <c r="C21" s="25"/>
      <c r="D21" s="25"/>
      <c r="E21" s="25"/>
      <c r="F21" s="29"/>
      <c r="G21" s="29"/>
      <c r="H21" s="29"/>
    </row>
    <row r="22" spans="1:10" x14ac:dyDescent="0.15">
      <c r="A22" s="21">
        <v>3</v>
      </c>
      <c r="B22" s="20" t="s">
        <v>88</v>
      </c>
      <c r="C22" s="25"/>
      <c r="D22" s="25"/>
      <c r="E22" s="25"/>
      <c r="F22" s="29"/>
      <c r="G22" s="29"/>
      <c r="H22" s="29"/>
    </row>
    <row r="23" spans="1:10" ht="92.25" customHeight="1" x14ac:dyDescent="0.15">
      <c r="A23" s="21">
        <v>4</v>
      </c>
      <c r="B23" s="21" t="s">
        <v>89</v>
      </c>
      <c r="C23" s="28" t="s">
        <v>244</v>
      </c>
      <c r="D23" s="25"/>
      <c r="E23" s="25"/>
      <c r="F23" s="29"/>
      <c r="G23" s="29"/>
      <c r="H23" s="29"/>
    </row>
    <row r="24" spans="1:10" ht="28" x14ac:dyDescent="0.15">
      <c r="A24" s="21">
        <v>5</v>
      </c>
      <c r="B24" s="20" t="s">
        <v>90</v>
      </c>
      <c r="C24" s="28" t="s">
        <v>251</v>
      </c>
      <c r="D24" s="25"/>
      <c r="E24" s="25"/>
      <c r="F24" s="29"/>
      <c r="G24" s="29"/>
      <c r="H24" s="29"/>
    </row>
    <row r="25" spans="1:10" x14ac:dyDescent="0.15">
      <c r="A25" s="21">
        <v>6</v>
      </c>
      <c r="B25" s="20" t="s">
        <v>91</v>
      </c>
      <c r="C25" s="25"/>
      <c r="D25" s="25"/>
      <c r="E25" s="25"/>
      <c r="F25" s="29"/>
      <c r="G25" s="29"/>
      <c r="H25" s="29"/>
    </row>
    <row r="27" spans="1:10" ht="14" x14ac:dyDescent="0.15">
      <c r="B27" s="71" t="s">
        <v>242</v>
      </c>
      <c r="F27" s="73" t="s">
        <v>246</v>
      </c>
    </row>
    <row r="28" spans="1:10" x14ac:dyDescent="0.15">
      <c r="B28" s="72" t="s">
        <v>250</v>
      </c>
      <c r="C28" s="72" t="s">
        <v>245</v>
      </c>
      <c r="D28" s="72" t="s">
        <v>243</v>
      </c>
      <c r="F28" s="72" t="s">
        <v>247</v>
      </c>
      <c r="G28" s="84" t="s">
        <v>249</v>
      </c>
      <c r="H28" s="85"/>
      <c r="I28" s="85"/>
      <c r="J28" s="85"/>
    </row>
    <row r="29" spans="1:10" x14ac:dyDescent="0.15">
      <c r="B29" s="20">
        <f ca="1">RANDBETWEEN(100000,199999)</f>
        <v>129457</v>
      </c>
      <c r="C29" s="25">
        <v>24.78</v>
      </c>
      <c r="D29" s="25">
        <v>100000</v>
      </c>
      <c r="F29" s="27">
        <v>1</v>
      </c>
      <c r="G29" s="86" t="s">
        <v>248</v>
      </c>
      <c r="H29" s="87"/>
      <c r="I29" s="87"/>
      <c r="J29" s="88"/>
    </row>
    <row r="30" spans="1:10" x14ac:dyDescent="0.15">
      <c r="B30" s="20">
        <f t="shared" ref="B30:B51" ca="1" si="0">RANDBETWEEN(100000,199999)</f>
        <v>148174</v>
      </c>
      <c r="C30" s="25">
        <f>C29-0.1</f>
        <v>24.68</v>
      </c>
      <c r="D30" s="25">
        <f>D29+50000</f>
        <v>150000</v>
      </c>
    </row>
    <row r="31" spans="1:10" x14ac:dyDescent="0.15">
      <c r="B31" s="20">
        <f t="shared" ca="1" si="0"/>
        <v>191396</v>
      </c>
      <c r="C31" s="25">
        <f t="shared" ref="C31:C40" si="1">C30-0.1</f>
        <v>24.58</v>
      </c>
      <c r="D31" s="25">
        <f t="shared" ref="D31:D40" si="2">D30+50000</f>
        <v>200000</v>
      </c>
    </row>
    <row r="32" spans="1:10" x14ac:dyDescent="0.15">
      <c r="B32" s="20">
        <f t="shared" ca="1" si="0"/>
        <v>196921</v>
      </c>
      <c r="C32" s="25">
        <f t="shared" si="1"/>
        <v>24.479999999999997</v>
      </c>
      <c r="D32" s="25">
        <f t="shared" si="2"/>
        <v>250000</v>
      </c>
    </row>
    <row r="33" spans="2:4" x14ac:dyDescent="0.15">
      <c r="B33" s="20">
        <f t="shared" ca="1" si="0"/>
        <v>173317</v>
      </c>
      <c r="C33" s="25">
        <f t="shared" si="1"/>
        <v>24.379999999999995</v>
      </c>
      <c r="D33" s="25">
        <f t="shared" si="2"/>
        <v>300000</v>
      </c>
    </row>
    <row r="34" spans="2:4" x14ac:dyDescent="0.15">
      <c r="B34" s="20">
        <f t="shared" ca="1" si="0"/>
        <v>199781</v>
      </c>
      <c r="C34" s="25">
        <f t="shared" si="1"/>
        <v>24.279999999999994</v>
      </c>
      <c r="D34" s="25">
        <f t="shared" si="2"/>
        <v>350000</v>
      </c>
    </row>
    <row r="35" spans="2:4" x14ac:dyDescent="0.15">
      <c r="B35" s="20">
        <f t="shared" ca="1" si="0"/>
        <v>140404</v>
      </c>
      <c r="C35" s="25">
        <f t="shared" si="1"/>
        <v>24.179999999999993</v>
      </c>
      <c r="D35" s="25">
        <f t="shared" si="2"/>
        <v>400000</v>
      </c>
    </row>
    <row r="36" spans="2:4" x14ac:dyDescent="0.15">
      <c r="B36" s="20">
        <f t="shared" ca="1" si="0"/>
        <v>159599</v>
      </c>
      <c r="C36" s="25">
        <f t="shared" si="1"/>
        <v>24.079999999999991</v>
      </c>
      <c r="D36" s="25">
        <f t="shared" si="2"/>
        <v>450000</v>
      </c>
    </row>
    <row r="37" spans="2:4" x14ac:dyDescent="0.15">
      <c r="B37" s="20">
        <f t="shared" ca="1" si="0"/>
        <v>159779</v>
      </c>
      <c r="C37" s="25">
        <f t="shared" si="1"/>
        <v>23.97999999999999</v>
      </c>
      <c r="D37" s="25">
        <f t="shared" si="2"/>
        <v>500000</v>
      </c>
    </row>
    <row r="38" spans="2:4" x14ac:dyDescent="0.15">
      <c r="B38" s="20">
        <f t="shared" ca="1" si="0"/>
        <v>197411</v>
      </c>
      <c r="C38" s="25">
        <f t="shared" si="1"/>
        <v>23.879999999999988</v>
      </c>
      <c r="D38" s="25">
        <f t="shared" si="2"/>
        <v>550000</v>
      </c>
    </row>
    <row r="39" spans="2:4" x14ac:dyDescent="0.15">
      <c r="B39" s="20">
        <f t="shared" ca="1" si="0"/>
        <v>105253</v>
      </c>
      <c r="C39" s="25">
        <f t="shared" si="1"/>
        <v>23.779999999999987</v>
      </c>
      <c r="D39" s="25">
        <f t="shared" si="2"/>
        <v>600000</v>
      </c>
    </row>
    <row r="40" spans="2:4" x14ac:dyDescent="0.15">
      <c r="B40" s="20">
        <f t="shared" ca="1" si="0"/>
        <v>196667</v>
      </c>
      <c r="C40" s="25">
        <f t="shared" si="1"/>
        <v>23.679999999999986</v>
      </c>
      <c r="D40" s="25">
        <f t="shared" si="2"/>
        <v>650000</v>
      </c>
    </row>
    <row r="41" spans="2:4" x14ac:dyDescent="0.15">
      <c r="B41" s="20">
        <f t="shared" ca="1" si="0"/>
        <v>120392</v>
      </c>
      <c r="C41" s="25">
        <f t="shared" ref="C41:C51" si="3">C40-0.1</f>
        <v>23.579999999999984</v>
      </c>
      <c r="D41" s="25">
        <f t="shared" ref="D41:D51" si="4">D40+50000</f>
        <v>700000</v>
      </c>
    </row>
    <row r="42" spans="2:4" x14ac:dyDescent="0.15">
      <c r="B42" s="20">
        <f t="shared" ca="1" si="0"/>
        <v>107669</v>
      </c>
      <c r="C42" s="25">
        <f t="shared" si="3"/>
        <v>23.479999999999983</v>
      </c>
      <c r="D42" s="25">
        <f t="shared" si="4"/>
        <v>750000</v>
      </c>
    </row>
    <row r="43" spans="2:4" x14ac:dyDescent="0.15">
      <c r="B43" s="20">
        <f t="shared" ca="1" si="0"/>
        <v>198613</v>
      </c>
      <c r="C43" s="25">
        <f t="shared" si="3"/>
        <v>23.379999999999981</v>
      </c>
      <c r="D43" s="25">
        <f t="shared" si="4"/>
        <v>800000</v>
      </c>
    </row>
    <row r="44" spans="2:4" x14ac:dyDescent="0.15">
      <c r="B44" s="20">
        <f t="shared" ca="1" si="0"/>
        <v>190040</v>
      </c>
      <c r="C44" s="25">
        <f t="shared" si="3"/>
        <v>23.27999999999998</v>
      </c>
      <c r="D44" s="25">
        <f t="shared" si="4"/>
        <v>850000</v>
      </c>
    </row>
    <row r="45" spans="2:4" x14ac:dyDescent="0.15">
      <c r="B45" s="20">
        <f t="shared" ca="1" si="0"/>
        <v>184836</v>
      </c>
      <c r="C45" s="25">
        <f t="shared" si="3"/>
        <v>23.179999999999978</v>
      </c>
      <c r="D45" s="25">
        <f t="shared" si="4"/>
        <v>900000</v>
      </c>
    </row>
    <row r="46" spans="2:4" x14ac:dyDescent="0.15">
      <c r="B46" s="20">
        <f t="shared" ca="1" si="0"/>
        <v>111566</v>
      </c>
      <c r="C46" s="25">
        <f t="shared" si="3"/>
        <v>23.079999999999977</v>
      </c>
      <c r="D46" s="25">
        <f t="shared" si="4"/>
        <v>950000</v>
      </c>
    </row>
    <row r="47" spans="2:4" x14ac:dyDescent="0.15">
      <c r="B47" s="20">
        <f t="shared" ca="1" si="0"/>
        <v>149172</v>
      </c>
      <c r="C47" s="25">
        <f t="shared" si="3"/>
        <v>22.979999999999976</v>
      </c>
      <c r="D47" s="25">
        <f t="shared" si="4"/>
        <v>1000000</v>
      </c>
    </row>
    <row r="48" spans="2:4" x14ac:dyDescent="0.15">
      <c r="B48" s="20">
        <f t="shared" ca="1" si="0"/>
        <v>120332</v>
      </c>
      <c r="C48" s="25">
        <f t="shared" si="3"/>
        <v>22.879999999999974</v>
      </c>
      <c r="D48" s="25">
        <f t="shared" si="4"/>
        <v>1050000</v>
      </c>
    </row>
    <row r="49" spans="2:4" x14ac:dyDescent="0.15">
      <c r="B49" s="20">
        <f t="shared" ca="1" si="0"/>
        <v>127778</v>
      </c>
      <c r="C49" s="25">
        <f t="shared" si="3"/>
        <v>22.779999999999973</v>
      </c>
      <c r="D49" s="25">
        <f t="shared" si="4"/>
        <v>1100000</v>
      </c>
    </row>
    <row r="50" spans="2:4" x14ac:dyDescent="0.15">
      <c r="B50" s="20">
        <f t="shared" ca="1" si="0"/>
        <v>150611</v>
      </c>
      <c r="C50" s="25">
        <f t="shared" si="3"/>
        <v>22.679999999999971</v>
      </c>
      <c r="D50" s="25">
        <f t="shared" si="4"/>
        <v>1150000</v>
      </c>
    </row>
    <row r="51" spans="2:4" x14ac:dyDescent="0.15">
      <c r="B51" s="20">
        <f t="shared" ca="1" si="0"/>
        <v>140301</v>
      </c>
      <c r="C51" s="25">
        <f t="shared" si="3"/>
        <v>22.57999999999997</v>
      </c>
      <c r="D51" s="25">
        <f t="shared" si="4"/>
        <v>1200000</v>
      </c>
    </row>
    <row r="54" spans="2:4" x14ac:dyDescent="0.15">
      <c r="B54" s="71" t="s">
        <v>251</v>
      </c>
    </row>
    <row r="55" spans="2:4" x14ac:dyDescent="0.15">
      <c r="B55" s="72" t="s">
        <v>250</v>
      </c>
      <c r="C55" s="72" t="s">
        <v>245</v>
      </c>
      <c r="D55" s="72" t="s">
        <v>243</v>
      </c>
    </row>
    <row r="56" spans="2:4" x14ac:dyDescent="0.15">
      <c r="B56" s="20">
        <f ca="1">RANDBETWEEN(100000,199999)</f>
        <v>142700</v>
      </c>
      <c r="C56" s="25">
        <v>36.78</v>
      </c>
      <c r="D56" s="25">
        <v>100000</v>
      </c>
    </row>
    <row r="57" spans="2:4" x14ac:dyDescent="0.15">
      <c r="B57" s="20">
        <f t="shared" ref="B57:B84" ca="1" si="5">RANDBETWEEN(100000,199999)</f>
        <v>105765</v>
      </c>
      <c r="C57" s="25">
        <f>C56-0.1</f>
        <v>36.68</v>
      </c>
      <c r="D57" s="25">
        <f>D56+50000</f>
        <v>150000</v>
      </c>
    </row>
    <row r="58" spans="2:4" x14ac:dyDescent="0.15">
      <c r="B58" s="20">
        <f t="shared" ca="1" si="5"/>
        <v>175313</v>
      </c>
      <c r="C58" s="25">
        <f t="shared" ref="C58:C61" si="6">C57-0.1</f>
        <v>36.58</v>
      </c>
      <c r="D58" s="25">
        <f t="shared" ref="D58:D61" si="7">D57+50000</f>
        <v>200000</v>
      </c>
    </row>
    <row r="59" spans="2:4" x14ac:dyDescent="0.15">
      <c r="B59" s="20">
        <f t="shared" ca="1" si="5"/>
        <v>154033</v>
      </c>
      <c r="C59" s="25">
        <f t="shared" si="6"/>
        <v>36.479999999999997</v>
      </c>
      <c r="D59" s="25">
        <f t="shared" si="7"/>
        <v>250000</v>
      </c>
    </row>
    <row r="60" spans="2:4" x14ac:dyDescent="0.15">
      <c r="B60" s="20">
        <f t="shared" ca="1" si="5"/>
        <v>174620</v>
      </c>
      <c r="C60" s="25">
        <f t="shared" si="6"/>
        <v>36.379999999999995</v>
      </c>
      <c r="D60" s="25">
        <f t="shared" si="7"/>
        <v>300000</v>
      </c>
    </row>
    <row r="61" spans="2:4" x14ac:dyDescent="0.15">
      <c r="B61" s="20">
        <f t="shared" ca="1" si="5"/>
        <v>180697</v>
      </c>
      <c r="C61" s="25">
        <f t="shared" si="6"/>
        <v>36.279999999999994</v>
      </c>
      <c r="D61" s="25">
        <f t="shared" si="7"/>
        <v>350000</v>
      </c>
    </row>
    <row r="62" spans="2:4" x14ac:dyDescent="0.15">
      <c r="B62" s="20">
        <f t="shared" ca="1" si="5"/>
        <v>106240</v>
      </c>
      <c r="C62" s="25">
        <v>36.78</v>
      </c>
      <c r="D62" s="25">
        <v>100000</v>
      </c>
    </row>
    <row r="63" spans="2:4" x14ac:dyDescent="0.15">
      <c r="B63" s="20">
        <f t="shared" ca="1" si="5"/>
        <v>174694</v>
      </c>
      <c r="C63" s="25">
        <f t="shared" ref="C63:C67" si="8">C62-0.1</f>
        <v>36.68</v>
      </c>
      <c r="D63" s="25">
        <f t="shared" ref="D63:D67" si="9">D62+50000</f>
        <v>150000</v>
      </c>
    </row>
    <row r="64" spans="2:4" x14ac:dyDescent="0.15">
      <c r="B64" s="20">
        <f t="shared" ca="1" si="5"/>
        <v>115505</v>
      </c>
      <c r="C64" s="25">
        <f t="shared" si="8"/>
        <v>36.58</v>
      </c>
      <c r="D64" s="25">
        <f t="shared" si="9"/>
        <v>200000</v>
      </c>
    </row>
    <row r="65" spans="2:4" x14ac:dyDescent="0.15">
      <c r="B65" s="20">
        <f t="shared" ca="1" si="5"/>
        <v>106910</v>
      </c>
      <c r="C65" s="25">
        <f t="shared" si="8"/>
        <v>36.479999999999997</v>
      </c>
      <c r="D65" s="25">
        <f t="shared" si="9"/>
        <v>250000</v>
      </c>
    </row>
    <row r="66" spans="2:4" x14ac:dyDescent="0.15">
      <c r="B66" s="20">
        <f t="shared" ca="1" si="5"/>
        <v>152478</v>
      </c>
      <c r="C66" s="25">
        <f t="shared" si="8"/>
        <v>36.379999999999995</v>
      </c>
      <c r="D66" s="25">
        <f t="shared" si="9"/>
        <v>300000</v>
      </c>
    </row>
    <row r="67" spans="2:4" x14ac:dyDescent="0.15">
      <c r="B67" s="20">
        <f t="shared" ca="1" si="5"/>
        <v>124528</v>
      </c>
      <c r="C67" s="25">
        <f t="shared" si="8"/>
        <v>36.279999999999994</v>
      </c>
      <c r="D67" s="25">
        <f t="shared" si="9"/>
        <v>350000</v>
      </c>
    </row>
    <row r="68" spans="2:4" x14ac:dyDescent="0.15">
      <c r="B68" s="20">
        <f t="shared" ca="1" si="5"/>
        <v>161018</v>
      </c>
      <c r="C68" s="25">
        <v>36.78</v>
      </c>
      <c r="D68" s="25">
        <v>100000</v>
      </c>
    </row>
    <row r="69" spans="2:4" x14ac:dyDescent="0.15">
      <c r="B69" s="20">
        <f t="shared" ca="1" si="5"/>
        <v>128806</v>
      </c>
      <c r="C69" s="25">
        <f t="shared" ref="C69:C71" si="10">C68-0.1</f>
        <v>36.68</v>
      </c>
      <c r="D69" s="25">
        <f t="shared" ref="D69:D71" si="11">D68+50000</f>
        <v>150000</v>
      </c>
    </row>
    <row r="70" spans="2:4" x14ac:dyDescent="0.15">
      <c r="B70" s="20">
        <f t="shared" ca="1" si="5"/>
        <v>150265</v>
      </c>
      <c r="C70" s="25">
        <f t="shared" si="10"/>
        <v>36.58</v>
      </c>
      <c r="D70" s="25">
        <f t="shared" si="11"/>
        <v>200000</v>
      </c>
    </row>
    <row r="71" spans="2:4" x14ac:dyDescent="0.15">
      <c r="B71" s="20">
        <f t="shared" ca="1" si="5"/>
        <v>180627</v>
      </c>
      <c r="C71" s="25">
        <f t="shared" si="10"/>
        <v>36.479999999999997</v>
      </c>
      <c r="D71" s="25">
        <f t="shared" si="11"/>
        <v>250000</v>
      </c>
    </row>
    <row r="72" spans="2:4" x14ac:dyDescent="0.15">
      <c r="B72" s="20">
        <f ca="1">RANDBETWEEN(100000,199999)</f>
        <v>116147</v>
      </c>
      <c r="C72" s="25">
        <v>36.78</v>
      </c>
      <c r="D72" s="25">
        <v>100000</v>
      </c>
    </row>
    <row r="73" spans="2:4" x14ac:dyDescent="0.15">
      <c r="B73" s="20">
        <f t="shared" ca="1" si="5"/>
        <v>169772</v>
      </c>
      <c r="C73" s="25">
        <f>C72-0.1</f>
        <v>36.68</v>
      </c>
      <c r="D73" s="25">
        <f>D72+50000</f>
        <v>150000</v>
      </c>
    </row>
    <row r="74" spans="2:4" x14ac:dyDescent="0.15">
      <c r="B74" s="20">
        <f t="shared" ca="1" si="5"/>
        <v>105651</v>
      </c>
      <c r="C74" s="25">
        <f t="shared" ref="C74:C77" si="12">C73-0.1</f>
        <v>36.58</v>
      </c>
      <c r="D74" s="25">
        <f t="shared" ref="D74:D77" si="13">D73+50000</f>
        <v>200000</v>
      </c>
    </row>
    <row r="75" spans="2:4" x14ac:dyDescent="0.15">
      <c r="B75" s="20">
        <f t="shared" ca="1" si="5"/>
        <v>194441</v>
      </c>
      <c r="C75" s="25">
        <f t="shared" si="12"/>
        <v>36.479999999999997</v>
      </c>
      <c r="D75" s="25">
        <f t="shared" si="13"/>
        <v>250000</v>
      </c>
    </row>
    <row r="76" spans="2:4" x14ac:dyDescent="0.15">
      <c r="B76" s="20">
        <f t="shared" ca="1" si="5"/>
        <v>116936</v>
      </c>
      <c r="C76" s="25">
        <f t="shared" si="12"/>
        <v>36.379999999999995</v>
      </c>
      <c r="D76" s="25">
        <f t="shared" si="13"/>
        <v>300000</v>
      </c>
    </row>
    <row r="77" spans="2:4" x14ac:dyDescent="0.15">
      <c r="B77" s="20">
        <f t="shared" ca="1" si="5"/>
        <v>154506</v>
      </c>
      <c r="C77" s="25">
        <f t="shared" si="12"/>
        <v>36.279999999999994</v>
      </c>
      <c r="D77" s="25">
        <f t="shared" si="13"/>
        <v>350000</v>
      </c>
    </row>
    <row r="78" spans="2:4" x14ac:dyDescent="0.15">
      <c r="B78" s="20">
        <f t="shared" ca="1" si="5"/>
        <v>160338</v>
      </c>
      <c r="C78" s="25">
        <v>36.78</v>
      </c>
      <c r="D78" s="25">
        <v>100000</v>
      </c>
    </row>
    <row r="79" spans="2:4" x14ac:dyDescent="0.15">
      <c r="B79" s="20">
        <f t="shared" ca="1" si="5"/>
        <v>198769</v>
      </c>
      <c r="C79" s="25">
        <f t="shared" ref="C79:C83" si="14">C78-0.1</f>
        <v>36.68</v>
      </c>
      <c r="D79" s="25">
        <f t="shared" ref="D79:D83" si="15">D78+50000</f>
        <v>150000</v>
      </c>
    </row>
    <row r="80" spans="2:4" x14ac:dyDescent="0.15">
      <c r="B80" s="20">
        <f t="shared" ca="1" si="5"/>
        <v>139639</v>
      </c>
      <c r="C80" s="25">
        <f t="shared" si="14"/>
        <v>36.58</v>
      </c>
      <c r="D80" s="25">
        <f t="shared" si="15"/>
        <v>200000</v>
      </c>
    </row>
    <row r="81" spans="2:4" x14ac:dyDescent="0.15">
      <c r="B81" s="20">
        <f t="shared" ca="1" si="5"/>
        <v>186180</v>
      </c>
      <c r="C81" s="25">
        <f t="shared" si="14"/>
        <v>36.479999999999997</v>
      </c>
      <c r="D81" s="25">
        <f t="shared" si="15"/>
        <v>250000</v>
      </c>
    </row>
    <row r="82" spans="2:4" x14ac:dyDescent="0.15">
      <c r="B82" s="20">
        <f t="shared" ca="1" si="5"/>
        <v>122101</v>
      </c>
      <c r="C82" s="25">
        <f t="shared" si="14"/>
        <v>36.379999999999995</v>
      </c>
      <c r="D82" s="25">
        <f t="shared" si="15"/>
        <v>300000</v>
      </c>
    </row>
    <row r="83" spans="2:4" x14ac:dyDescent="0.15">
      <c r="B83" s="20">
        <f t="shared" ca="1" si="5"/>
        <v>155715</v>
      </c>
      <c r="C83" s="25">
        <f t="shared" si="14"/>
        <v>36.279999999999994</v>
      </c>
      <c r="D83" s="25">
        <f t="shared" si="15"/>
        <v>350000</v>
      </c>
    </row>
    <row r="84" spans="2:4" x14ac:dyDescent="0.15">
      <c r="B84" s="20">
        <f t="shared" ca="1" si="5"/>
        <v>145217</v>
      </c>
      <c r="C84" s="25">
        <v>36.78</v>
      </c>
      <c r="D84" s="25">
        <v>100000</v>
      </c>
    </row>
  </sheetData>
  <mergeCells count="3">
    <mergeCell ref="A5:B5"/>
    <mergeCell ref="G28:J28"/>
    <mergeCell ref="G29:J29"/>
  </mergeCells>
  <pageMargins left="0.75" right="0.75" top="1" bottom="1" header="0.5" footer="0.5"/>
  <pageSetup paperSize="9" orientation="portrait" horizontalDpi="300" verticalDpi="300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8"/>
  <sheetViews>
    <sheetView tabSelected="1" workbookViewId="0">
      <selection activeCell="A2" sqref="A2"/>
    </sheetView>
  </sheetViews>
  <sheetFormatPr baseColWidth="10" defaultColWidth="9.1640625" defaultRowHeight="13" x14ac:dyDescent="0.15"/>
  <cols>
    <col min="1" max="1" width="9.1640625" style="17"/>
    <col min="2" max="3" width="48.5" style="17" customWidth="1"/>
    <col min="4" max="4" width="33" style="17" customWidth="1"/>
    <col min="5" max="5" width="34" style="17" customWidth="1"/>
    <col min="6" max="16384" width="9.1640625" style="17"/>
  </cols>
  <sheetData>
    <row r="1" spans="1:5" x14ac:dyDescent="0.15">
      <c r="A1" s="72" t="s">
        <v>260</v>
      </c>
      <c r="B1" s="72" t="s">
        <v>259</v>
      </c>
      <c r="C1" s="72" t="s">
        <v>258</v>
      </c>
      <c r="D1" s="72" t="s">
        <v>257</v>
      </c>
      <c r="E1" s="72" t="s">
        <v>255</v>
      </c>
    </row>
    <row r="2" spans="1:5" x14ac:dyDescent="0.15">
      <c r="A2" s="20">
        <f ca="1">RANDBETWEEN(100000,199999)</f>
        <v>148695</v>
      </c>
      <c r="B2" s="74">
        <v>24.78</v>
      </c>
      <c r="C2" s="74">
        <v>35.4</v>
      </c>
      <c r="D2" s="25">
        <v>100000</v>
      </c>
      <c r="E2" s="20" t="s">
        <v>252</v>
      </c>
    </row>
    <row r="3" spans="1:5" x14ac:dyDescent="0.15">
      <c r="A3" s="20">
        <f t="shared" ref="A3:A66" ca="1" si="0">RANDBETWEEN(100000,199999)</f>
        <v>184135</v>
      </c>
      <c r="B3" s="74">
        <f>B2-0.1</f>
        <v>24.68</v>
      </c>
      <c r="C3" s="74">
        <f>C2-0.2</f>
        <v>35.199999999999996</v>
      </c>
      <c r="D3" s="25">
        <f>D2+50000</f>
        <v>150000</v>
      </c>
      <c r="E3" s="20" t="s">
        <v>252</v>
      </c>
    </row>
    <row r="4" spans="1:5" x14ac:dyDescent="0.15">
      <c r="A4" s="20">
        <f t="shared" ca="1" si="0"/>
        <v>118475</v>
      </c>
      <c r="B4" s="74">
        <f t="shared" ref="B4:B48" si="1">B3-0.1</f>
        <v>24.58</v>
      </c>
      <c r="C4" s="74">
        <f t="shared" ref="C4:C24" si="2">C3-0.2</f>
        <v>34.999999999999993</v>
      </c>
      <c r="D4" s="25">
        <f t="shared" ref="D4:D48" si="3">D3+50000</f>
        <v>200000</v>
      </c>
      <c r="E4" s="20" t="s">
        <v>252</v>
      </c>
    </row>
    <row r="5" spans="1:5" x14ac:dyDescent="0.15">
      <c r="A5" s="20">
        <f t="shared" ca="1" si="0"/>
        <v>155146</v>
      </c>
      <c r="B5" s="74">
        <f t="shared" si="1"/>
        <v>24.479999999999997</v>
      </c>
      <c r="C5" s="74">
        <f t="shared" si="2"/>
        <v>34.79999999999999</v>
      </c>
      <c r="D5" s="25">
        <f t="shared" si="3"/>
        <v>250000</v>
      </c>
      <c r="E5" s="20" t="s">
        <v>252</v>
      </c>
    </row>
    <row r="6" spans="1:5" x14ac:dyDescent="0.15">
      <c r="A6" s="20">
        <f t="shared" ca="1" si="0"/>
        <v>152422</v>
      </c>
      <c r="B6" s="74">
        <f t="shared" si="1"/>
        <v>24.379999999999995</v>
      </c>
      <c r="C6" s="74">
        <f t="shared" si="2"/>
        <v>34.599999999999987</v>
      </c>
      <c r="D6" s="25">
        <f t="shared" si="3"/>
        <v>300000</v>
      </c>
      <c r="E6" s="20" t="s">
        <v>252</v>
      </c>
    </row>
    <row r="7" spans="1:5" x14ac:dyDescent="0.15">
      <c r="A7" s="20">
        <f t="shared" ca="1" si="0"/>
        <v>152782</v>
      </c>
      <c r="B7" s="74">
        <f t="shared" si="1"/>
        <v>24.279999999999994</v>
      </c>
      <c r="C7" s="74">
        <f t="shared" si="2"/>
        <v>34.399999999999984</v>
      </c>
      <c r="D7" s="25">
        <f t="shared" si="3"/>
        <v>350000</v>
      </c>
      <c r="E7" s="20" t="s">
        <v>252</v>
      </c>
    </row>
    <row r="8" spans="1:5" x14ac:dyDescent="0.15">
      <c r="A8" s="20">
        <f t="shared" ca="1" si="0"/>
        <v>143241</v>
      </c>
      <c r="B8" s="74">
        <f t="shared" si="1"/>
        <v>24.179999999999993</v>
      </c>
      <c r="C8" s="74">
        <f t="shared" si="2"/>
        <v>34.199999999999982</v>
      </c>
      <c r="D8" s="25">
        <f t="shared" si="3"/>
        <v>400000</v>
      </c>
      <c r="E8" s="20" t="s">
        <v>252</v>
      </c>
    </row>
    <row r="9" spans="1:5" x14ac:dyDescent="0.15">
      <c r="A9" s="20">
        <f t="shared" ca="1" si="0"/>
        <v>144340</v>
      </c>
      <c r="B9" s="74">
        <f t="shared" si="1"/>
        <v>24.079999999999991</v>
      </c>
      <c r="C9" s="74">
        <f t="shared" si="2"/>
        <v>33.999999999999979</v>
      </c>
      <c r="D9" s="25">
        <f t="shared" si="3"/>
        <v>450000</v>
      </c>
      <c r="E9" s="20" t="s">
        <v>252</v>
      </c>
    </row>
    <row r="10" spans="1:5" x14ac:dyDescent="0.15">
      <c r="A10" s="20">
        <f t="shared" ca="1" si="0"/>
        <v>185024</v>
      </c>
      <c r="B10" s="74">
        <f t="shared" si="1"/>
        <v>23.97999999999999</v>
      </c>
      <c r="C10" s="74">
        <f t="shared" si="2"/>
        <v>33.799999999999976</v>
      </c>
      <c r="D10" s="25">
        <f t="shared" si="3"/>
        <v>500000</v>
      </c>
      <c r="E10" s="20" t="s">
        <v>252</v>
      </c>
    </row>
    <row r="11" spans="1:5" x14ac:dyDescent="0.15">
      <c r="A11" s="20">
        <f t="shared" ca="1" si="0"/>
        <v>107442</v>
      </c>
      <c r="B11" s="74">
        <f t="shared" si="1"/>
        <v>23.879999999999988</v>
      </c>
      <c r="C11" s="74">
        <f t="shared" si="2"/>
        <v>33.599999999999973</v>
      </c>
      <c r="D11" s="25">
        <f t="shared" si="3"/>
        <v>550000</v>
      </c>
      <c r="E11" s="20" t="s">
        <v>252</v>
      </c>
    </row>
    <row r="12" spans="1:5" x14ac:dyDescent="0.15">
      <c r="A12" s="20">
        <f t="shared" ca="1" si="0"/>
        <v>189235</v>
      </c>
      <c r="B12" s="74">
        <f t="shared" si="1"/>
        <v>23.779999999999987</v>
      </c>
      <c r="C12" s="74">
        <f t="shared" si="2"/>
        <v>33.39999999999997</v>
      </c>
      <c r="D12" s="25">
        <f t="shared" si="3"/>
        <v>600000</v>
      </c>
      <c r="E12" s="20" t="s">
        <v>252</v>
      </c>
    </row>
    <row r="13" spans="1:5" x14ac:dyDescent="0.15">
      <c r="A13" s="20">
        <f t="shared" ca="1" si="0"/>
        <v>114644</v>
      </c>
      <c r="B13" s="74">
        <f t="shared" si="1"/>
        <v>23.679999999999986</v>
      </c>
      <c r="C13" s="74">
        <f t="shared" si="2"/>
        <v>33.199999999999967</v>
      </c>
      <c r="D13" s="25">
        <f t="shared" si="3"/>
        <v>650000</v>
      </c>
      <c r="E13" s="20" t="s">
        <v>252</v>
      </c>
    </row>
    <row r="14" spans="1:5" x14ac:dyDescent="0.15">
      <c r="A14" s="20">
        <f t="shared" ca="1" si="0"/>
        <v>187258</v>
      </c>
      <c r="B14" s="74">
        <f t="shared" si="1"/>
        <v>23.579999999999984</v>
      </c>
      <c r="C14" s="74">
        <f t="shared" si="2"/>
        <v>32.999999999999964</v>
      </c>
      <c r="D14" s="25">
        <f t="shared" si="3"/>
        <v>700000</v>
      </c>
      <c r="E14" s="20" t="s">
        <v>252</v>
      </c>
    </row>
    <row r="15" spans="1:5" x14ac:dyDescent="0.15">
      <c r="A15" s="20">
        <f t="shared" ca="1" si="0"/>
        <v>197118</v>
      </c>
      <c r="B15" s="74">
        <f t="shared" si="1"/>
        <v>23.479999999999983</v>
      </c>
      <c r="C15" s="74">
        <f t="shared" si="2"/>
        <v>32.799999999999962</v>
      </c>
      <c r="D15" s="25">
        <f t="shared" si="3"/>
        <v>750000</v>
      </c>
      <c r="E15" s="20" t="s">
        <v>252</v>
      </c>
    </row>
    <row r="16" spans="1:5" x14ac:dyDescent="0.15">
      <c r="A16" s="20">
        <f t="shared" ca="1" si="0"/>
        <v>181362</v>
      </c>
      <c r="B16" s="74">
        <f t="shared" si="1"/>
        <v>23.379999999999981</v>
      </c>
      <c r="C16" s="74">
        <f t="shared" si="2"/>
        <v>32.599999999999959</v>
      </c>
      <c r="D16" s="25">
        <f t="shared" si="3"/>
        <v>800000</v>
      </c>
      <c r="E16" s="20" t="s">
        <v>252</v>
      </c>
    </row>
    <row r="17" spans="1:5" x14ac:dyDescent="0.15">
      <c r="A17" s="20">
        <f t="shared" ca="1" si="0"/>
        <v>151835</v>
      </c>
      <c r="B17" s="74">
        <f t="shared" si="1"/>
        <v>23.27999999999998</v>
      </c>
      <c r="C17" s="74">
        <f t="shared" si="2"/>
        <v>32.399999999999956</v>
      </c>
      <c r="D17" s="25">
        <f t="shared" si="3"/>
        <v>850000</v>
      </c>
      <c r="E17" s="20" t="s">
        <v>252</v>
      </c>
    </row>
    <row r="18" spans="1:5" x14ac:dyDescent="0.15">
      <c r="A18" s="20">
        <f t="shared" ca="1" si="0"/>
        <v>145222</v>
      </c>
      <c r="B18" s="74">
        <f t="shared" si="1"/>
        <v>23.179999999999978</v>
      </c>
      <c r="C18" s="74">
        <f t="shared" si="2"/>
        <v>32.199999999999953</v>
      </c>
      <c r="D18" s="25">
        <f t="shared" si="3"/>
        <v>900000</v>
      </c>
      <c r="E18" s="20" t="s">
        <v>252</v>
      </c>
    </row>
    <row r="19" spans="1:5" x14ac:dyDescent="0.15">
      <c r="A19" s="20">
        <f t="shared" ca="1" si="0"/>
        <v>194182</v>
      </c>
      <c r="B19" s="74">
        <f t="shared" si="1"/>
        <v>23.079999999999977</v>
      </c>
      <c r="C19" s="74">
        <f t="shared" si="2"/>
        <v>31.999999999999954</v>
      </c>
      <c r="D19" s="25">
        <f t="shared" si="3"/>
        <v>950000</v>
      </c>
      <c r="E19" s="20" t="s">
        <v>252</v>
      </c>
    </row>
    <row r="20" spans="1:5" x14ac:dyDescent="0.15">
      <c r="A20" s="20">
        <f t="shared" ca="1" si="0"/>
        <v>122361</v>
      </c>
      <c r="B20" s="74">
        <f t="shared" si="1"/>
        <v>22.979999999999976</v>
      </c>
      <c r="C20" s="74">
        <f t="shared" si="2"/>
        <v>31.799999999999955</v>
      </c>
      <c r="D20" s="25">
        <f t="shared" si="3"/>
        <v>1000000</v>
      </c>
      <c r="E20" s="20" t="s">
        <v>252</v>
      </c>
    </row>
    <row r="21" spans="1:5" x14ac:dyDescent="0.15">
      <c r="A21" s="20">
        <f t="shared" ca="1" si="0"/>
        <v>105599</v>
      </c>
      <c r="B21" s="74">
        <f t="shared" si="1"/>
        <v>22.879999999999974</v>
      </c>
      <c r="C21" s="74">
        <f t="shared" si="2"/>
        <v>31.599999999999955</v>
      </c>
      <c r="D21" s="25">
        <f t="shared" si="3"/>
        <v>1050000</v>
      </c>
      <c r="E21" s="20" t="s">
        <v>252</v>
      </c>
    </row>
    <row r="22" spans="1:5" x14ac:dyDescent="0.15">
      <c r="A22" s="20">
        <f t="shared" ca="1" si="0"/>
        <v>197936</v>
      </c>
      <c r="B22" s="74">
        <f t="shared" si="1"/>
        <v>22.779999999999973</v>
      </c>
      <c r="C22" s="74">
        <f t="shared" si="2"/>
        <v>31.399999999999956</v>
      </c>
      <c r="D22" s="25">
        <f t="shared" si="3"/>
        <v>1100000</v>
      </c>
      <c r="E22" s="20" t="s">
        <v>252</v>
      </c>
    </row>
    <row r="23" spans="1:5" x14ac:dyDescent="0.15">
      <c r="A23" s="20">
        <f t="shared" ca="1" si="0"/>
        <v>178273</v>
      </c>
      <c r="B23" s="74">
        <f t="shared" si="1"/>
        <v>22.679999999999971</v>
      </c>
      <c r="C23" s="74">
        <f t="shared" si="2"/>
        <v>31.199999999999957</v>
      </c>
      <c r="D23" s="25">
        <f t="shared" si="3"/>
        <v>1150000</v>
      </c>
      <c r="E23" s="20" t="s">
        <v>252</v>
      </c>
    </row>
    <row r="24" spans="1:5" x14ac:dyDescent="0.15">
      <c r="A24" s="20">
        <f t="shared" ca="1" si="0"/>
        <v>194605</v>
      </c>
      <c r="B24" s="74">
        <f t="shared" si="1"/>
        <v>22.57999999999997</v>
      </c>
      <c r="C24" s="74">
        <f t="shared" si="2"/>
        <v>30.999999999999957</v>
      </c>
      <c r="D24" s="25">
        <f t="shared" si="3"/>
        <v>1200000</v>
      </c>
      <c r="E24" s="20" t="s">
        <v>252</v>
      </c>
    </row>
    <row r="25" spans="1:5" x14ac:dyDescent="0.15">
      <c r="A25" s="20">
        <f t="shared" ca="1" si="0"/>
        <v>186909</v>
      </c>
      <c r="B25" s="74">
        <f t="shared" si="1"/>
        <v>22.479999999999968</v>
      </c>
      <c r="C25" s="74">
        <f t="shared" ref="C25:C48" si="4">C24-0.2</f>
        <v>30.799999999999958</v>
      </c>
      <c r="D25" s="25">
        <f t="shared" si="3"/>
        <v>1250000</v>
      </c>
      <c r="E25" s="20" t="s">
        <v>252</v>
      </c>
    </row>
    <row r="26" spans="1:5" x14ac:dyDescent="0.15">
      <c r="A26" s="20">
        <f t="shared" ca="1" si="0"/>
        <v>180747</v>
      </c>
      <c r="B26" s="74">
        <f t="shared" si="1"/>
        <v>22.379999999999967</v>
      </c>
      <c r="C26" s="74">
        <f t="shared" si="4"/>
        <v>30.599999999999959</v>
      </c>
      <c r="D26" s="25">
        <f t="shared" si="3"/>
        <v>1300000</v>
      </c>
      <c r="E26" s="20" t="s">
        <v>252</v>
      </c>
    </row>
    <row r="27" spans="1:5" x14ac:dyDescent="0.15">
      <c r="A27" s="20">
        <f t="shared" ca="1" si="0"/>
        <v>157277</v>
      </c>
      <c r="B27" s="74">
        <f t="shared" si="1"/>
        <v>22.279999999999966</v>
      </c>
      <c r="C27" s="74">
        <f t="shared" si="4"/>
        <v>30.399999999999959</v>
      </c>
      <c r="D27" s="25">
        <f t="shared" si="3"/>
        <v>1350000</v>
      </c>
      <c r="E27" s="20" t="s">
        <v>252</v>
      </c>
    </row>
    <row r="28" spans="1:5" x14ac:dyDescent="0.15">
      <c r="A28" s="20">
        <f t="shared" ca="1" si="0"/>
        <v>194911</v>
      </c>
      <c r="B28" s="74">
        <f t="shared" si="1"/>
        <v>22.179999999999964</v>
      </c>
      <c r="C28" s="74">
        <f t="shared" si="4"/>
        <v>30.19999999999996</v>
      </c>
      <c r="D28" s="25">
        <f t="shared" si="3"/>
        <v>1400000</v>
      </c>
      <c r="E28" s="20" t="s">
        <v>252</v>
      </c>
    </row>
    <row r="29" spans="1:5" x14ac:dyDescent="0.15">
      <c r="A29" s="20">
        <f t="shared" ca="1" si="0"/>
        <v>171258</v>
      </c>
      <c r="B29" s="74">
        <f t="shared" si="1"/>
        <v>22.079999999999963</v>
      </c>
      <c r="C29" s="74">
        <f t="shared" si="4"/>
        <v>29.999999999999961</v>
      </c>
      <c r="D29" s="25">
        <f t="shared" si="3"/>
        <v>1450000</v>
      </c>
      <c r="E29" s="20" t="s">
        <v>252</v>
      </c>
    </row>
    <row r="30" spans="1:5" x14ac:dyDescent="0.15">
      <c r="A30" s="20">
        <f t="shared" ca="1" si="0"/>
        <v>194616</v>
      </c>
      <c r="B30" s="74">
        <f t="shared" si="1"/>
        <v>21.979999999999961</v>
      </c>
      <c r="C30" s="74">
        <f t="shared" si="4"/>
        <v>29.799999999999962</v>
      </c>
      <c r="D30" s="25">
        <f t="shared" si="3"/>
        <v>1500000</v>
      </c>
      <c r="E30" s="20" t="s">
        <v>252</v>
      </c>
    </row>
    <row r="31" spans="1:5" x14ac:dyDescent="0.15">
      <c r="A31" s="20">
        <f t="shared" ca="1" si="0"/>
        <v>194322</v>
      </c>
      <c r="B31" s="74">
        <f t="shared" si="1"/>
        <v>21.87999999999996</v>
      </c>
      <c r="C31" s="74">
        <f t="shared" si="4"/>
        <v>29.599999999999962</v>
      </c>
      <c r="D31" s="25">
        <f t="shared" si="3"/>
        <v>1550000</v>
      </c>
      <c r="E31" s="20" t="s">
        <v>252</v>
      </c>
    </row>
    <row r="32" spans="1:5" x14ac:dyDescent="0.15">
      <c r="A32" s="20">
        <f t="shared" ca="1" si="0"/>
        <v>188547</v>
      </c>
      <c r="B32" s="74">
        <f t="shared" si="1"/>
        <v>21.779999999999959</v>
      </c>
      <c r="C32" s="74">
        <f t="shared" si="4"/>
        <v>29.399999999999963</v>
      </c>
      <c r="D32" s="25">
        <f t="shared" si="3"/>
        <v>1600000</v>
      </c>
      <c r="E32" s="20" t="s">
        <v>252</v>
      </c>
    </row>
    <row r="33" spans="1:5" x14ac:dyDescent="0.15">
      <c r="A33" s="20">
        <f t="shared" ca="1" si="0"/>
        <v>171623</v>
      </c>
      <c r="B33" s="74">
        <f t="shared" si="1"/>
        <v>21.679999999999957</v>
      </c>
      <c r="C33" s="74">
        <f t="shared" si="4"/>
        <v>29.199999999999964</v>
      </c>
      <c r="D33" s="25">
        <f t="shared" si="3"/>
        <v>1650000</v>
      </c>
      <c r="E33" s="20" t="s">
        <v>252</v>
      </c>
    </row>
    <row r="34" spans="1:5" x14ac:dyDescent="0.15">
      <c r="A34" s="20">
        <f t="shared" ca="1" si="0"/>
        <v>198299</v>
      </c>
      <c r="B34" s="74">
        <f t="shared" si="1"/>
        <v>21.579999999999956</v>
      </c>
      <c r="C34" s="74">
        <f t="shared" si="4"/>
        <v>28.999999999999964</v>
      </c>
      <c r="D34" s="25">
        <f t="shared" si="3"/>
        <v>1700000</v>
      </c>
      <c r="E34" s="20" t="s">
        <v>252</v>
      </c>
    </row>
    <row r="35" spans="1:5" x14ac:dyDescent="0.15">
      <c r="A35" s="20">
        <f t="shared" ca="1" si="0"/>
        <v>166197</v>
      </c>
      <c r="B35" s="74">
        <f t="shared" si="1"/>
        <v>21.479999999999954</v>
      </c>
      <c r="C35" s="74">
        <f t="shared" si="4"/>
        <v>28.799999999999965</v>
      </c>
      <c r="D35" s="25">
        <f t="shared" si="3"/>
        <v>1750000</v>
      </c>
      <c r="E35" s="20" t="s">
        <v>252</v>
      </c>
    </row>
    <row r="36" spans="1:5" x14ac:dyDescent="0.15">
      <c r="A36" s="20">
        <f t="shared" ca="1" si="0"/>
        <v>159985</v>
      </c>
      <c r="B36" s="74">
        <f t="shared" si="1"/>
        <v>21.379999999999953</v>
      </c>
      <c r="C36" s="74">
        <f t="shared" si="4"/>
        <v>28.599999999999966</v>
      </c>
      <c r="D36" s="25">
        <f t="shared" si="3"/>
        <v>1800000</v>
      </c>
      <c r="E36" s="20" t="s">
        <v>252</v>
      </c>
    </row>
    <row r="37" spans="1:5" x14ac:dyDescent="0.15">
      <c r="A37" s="20">
        <f t="shared" ca="1" si="0"/>
        <v>112288</v>
      </c>
      <c r="B37" s="74">
        <f t="shared" si="1"/>
        <v>21.279999999999951</v>
      </c>
      <c r="C37" s="74">
        <f t="shared" si="4"/>
        <v>28.399999999999967</v>
      </c>
      <c r="D37" s="25">
        <f t="shared" si="3"/>
        <v>1850000</v>
      </c>
      <c r="E37" s="20" t="s">
        <v>252</v>
      </c>
    </row>
    <row r="38" spans="1:5" x14ac:dyDescent="0.15">
      <c r="A38" s="20">
        <f t="shared" ca="1" si="0"/>
        <v>153281</v>
      </c>
      <c r="B38" s="74">
        <f t="shared" si="1"/>
        <v>21.17999999999995</v>
      </c>
      <c r="C38" s="74">
        <f t="shared" si="4"/>
        <v>28.199999999999967</v>
      </c>
      <c r="D38" s="25">
        <f t="shared" si="3"/>
        <v>1900000</v>
      </c>
      <c r="E38" s="20" t="s">
        <v>252</v>
      </c>
    </row>
    <row r="39" spans="1:5" x14ac:dyDescent="0.15">
      <c r="A39" s="20">
        <f t="shared" ca="1" si="0"/>
        <v>138373</v>
      </c>
      <c r="B39" s="74">
        <f t="shared" si="1"/>
        <v>21.079999999999949</v>
      </c>
      <c r="C39" s="74">
        <f t="shared" si="4"/>
        <v>27.999999999999968</v>
      </c>
      <c r="D39" s="25">
        <f t="shared" si="3"/>
        <v>1950000</v>
      </c>
      <c r="E39" s="20" t="s">
        <v>252</v>
      </c>
    </row>
    <row r="40" spans="1:5" x14ac:dyDescent="0.15">
      <c r="A40" s="20">
        <f t="shared" ca="1" si="0"/>
        <v>158266</v>
      </c>
      <c r="B40" s="74">
        <f t="shared" si="1"/>
        <v>20.979999999999947</v>
      </c>
      <c r="C40" s="74">
        <f t="shared" si="4"/>
        <v>27.799999999999969</v>
      </c>
      <c r="D40" s="25">
        <f t="shared" si="3"/>
        <v>2000000</v>
      </c>
      <c r="E40" s="20" t="s">
        <v>252</v>
      </c>
    </row>
    <row r="41" spans="1:5" x14ac:dyDescent="0.15">
      <c r="A41" s="20">
        <f t="shared" ca="1" si="0"/>
        <v>166507</v>
      </c>
      <c r="B41" s="74">
        <f t="shared" si="1"/>
        <v>20.879999999999946</v>
      </c>
      <c r="C41" s="74">
        <f t="shared" si="4"/>
        <v>27.599999999999969</v>
      </c>
      <c r="D41" s="25">
        <f t="shared" si="3"/>
        <v>2050000</v>
      </c>
      <c r="E41" s="20" t="s">
        <v>252</v>
      </c>
    </row>
    <row r="42" spans="1:5" x14ac:dyDescent="0.15">
      <c r="A42" s="20">
        <f t="shared" ca="1" si="0"/>
        <v>159191</v>
      </c>
      <c r="B42" s="74">
        <f t="shared" si="1"/>
        <v>20.779999999999944</v>
      </c>
      <c r="C42" s="74">
        <f t="shared" si="4"/>
        <v>27.39999999999997</v>
      </c>
      <c r="D42" s="25">
        <f t="shared" si="3"/>
        <v>2100000</v>
      </c>
      <c r="E42" s="20" t="s">
        <v>252</v>
      </c>
    </row>
    <row r="43" spans="1:5" x14ac:dyDescent="0.15">
      <c r="A43" s="20">
        <f t="shared" ca="1" si="0"/>
        <v>146527</v>
      </c>
      <c r="B43" s="74">
        <f t="shared" si="1"/>
        <v>20.679999999999943</v>
      </c>
      <c r="C43" s="74">
        <f t="shared" si="4"/>
        <v>27.199999999999971</v>
      </c>
      <c r="D43" s="25">
        <f t="shared" si="3"/>
        <v>2150000</v>
      </c>
      <c r="E43" s="20" t="s">
        <v>252</v>
      </c>
    </row>
    <row r="44" spans="1:5" x14ac:dyDescent="0.15">
      <c r="A44" s="20">
        <f t="shared" ca="1" si="0"/>
        <v>150687</v>
      </c>
      <c r="B44" s="74">
        <f t="shared" si="1"/>
        <v>20.579999999999941</v>
      </c>
      <c r="C44" s="74">
        <f t="shared" si="4"/>
        <v>26.999999999999972</v>
      </c>
      <c r="D44" s="25">
        <f t="shared" si="3"/>
        <v>2200000</v>
      </c>
      <c r="E44" s="20" t="s">
        <v>252</v>
      </c>
    </row>
    <row r="45" spans="1:5" x14ac:dyDescent="0.15">
      <c r="A45" s="20">
        <f t="shared" ca="1" si="0"/>
        <v>172075</v>
      </c>
      <c r="B45" s="74">
        <f t="shared" si="1"/>
        <v>20.47999999999994</v>
      </c>
      <c r="C45" s="74">
        <f t="shared" si="4"/>
        <v>26.799999999999972</v>
      </c>
      <c r="D45" s="25">
        <f t="shared" si="3"/>
        <v>2250000</v>
      </c>
      <c r="E45" s="20" t="s">
        <v>252</v>
      </c>
    </row>
    <row r="46" spans="1:5" x14ac:dyDescent="0.15">
      <c r="A46" s="20">
        <f t="shared" ca="1" si="0"/>
        <v>130328</v>
      </c>
      <c r="B46" s="74">
        <f t="shared" si="1"/>
        <v>20.379999999999939</v>
      </c>
      <c r="C46" s="74">
        <f t="shared" si="4"/>
        <v>26.599999999999973</v>
      </c>
      <c r="D46" s="25">
        <f t="shared" si="3"/>
        <v>2300000</v>
      </c>
      <c r="E46" s="20" t="s">
        <v>252</v>
      </c>
    </row>
    <row r="47" spans="1:5" x14ac:dyDescent="0.15">
      <c r="A47" s="20">
        <f t="shared" ca="1" si="0"/>
        <v>155535</v>
      </c>
      <c r="B47" s="74">
        <f t="shared" si="1"/>
        <v>20.279999999999937</v>
      </c>
      <c r="C47" s="74">
        <f t="shared" si="4"/>
        <v>26.399999999999974</v>
      </c>
      <c r="D47" s="25">
        <f t="shared" si="3"/>
        <v>2350000</v>
      </c>
      <c r="E47" s="20" t="s">
        <v>252</v>
      </c>
    </row>
    <row r="48" spans="1:5" x14ac:dyDescent="0.15">
      <c r="A48" s="20">
        <f t="shared" ca="1" si="0"/>
        <v>181848</v>
      </c>
      <c r="B48" s="74">
        <f t="shared" si="1"/>
        <v>20.179999999999936</v>
      </c>
      <c r="C48" s="74">
        <f t="shared" si="4"/>
        <v>26.199999999999974</v>
      </c>
      <c r="D48" s="25">
        <f t="shared" si="3"/>
        <v>2400000</v>
      </c>
      <c r="E48" s="20" t="s">
        <v>252</v>
      </c>
    </row>
    <row r="49" spans="1:5" x14ac:dyDescent="0.15">
      <c r="A49" s="20">
        <f t="shared" ca="1" si="0"/>
        <v>114383</v>
      </c>
      <c r="B49" s="75">
        <v>35.6</v>
      </c>
      <c r="C49" s="75">
        <v>50.85</v>
      </c>
      <c r="D49" s="20">
        <v>10000</v>
      </c>
      <c r="E49" s="20" t="s">
        <v>252</v>
      </c>
    </row>
    <row r="50" spans="1:5" x14ac:dyDescent="0.15">
      <c r="A50" s="20">
        <f t="shared" ca="1" si="0"/>
        <v>133887</v>
      </c>
      <c r="B50" s="75">
        <f>B49-0.13</f>
        <v>35.47</v>
      </c>
      <c r="C50" s="75">
        <f>C49-0.17</f>
        <v>50.68</v>
      </c>
      <c r="D50" s="20">
        <f>D49+2000</f>
        <v>12000</v>
      </c>
      <c r="E50" s="20" t="s">
        <v>252</v>
      </c>
    </row>
    <row r="51" spans="1:5" x14ac:dyDescent="0.15">
      <c r="A51" s="20">
        <f t="shared" ca="1" si="0"/>
        <v>141540</v>
      </c>
      <c r="B51" s="75">
        <f t="shared" ref="B51:B97" si="5">B50-0.13</f>
        <v>35.339999999999996</v>
      </c>
      <c r="C51" s="75">
        <f t="shared" ref="C51:C97" si="6">C50-0.17</f>
        <v>50.51</v>
      </c>
      <c r="D51" s="20">
        <f t="shared" ref="D51:D97" si="7">D50+2000</f>
        <v>14000</v>
      </c>
      <c r="E51" s="20" t="s">
        <v>252</v>
      </c>
    </row>
    <row r="52" spans="1:5" x14ac:dyDescent="0.15">
      <c r="A52" s="20">
        <f t="shared" ca="1" si="0"/>
        <v>162199</v>
      </c>
      <c r="B52" s="75">
        <f t="shared" si="5"/>
        <v>35.209999999999994</v>
      </c>
      <c r="C52" s="75">
        <f t="shared" si="6"/>
        <v>50.339999999999996</v>
      </c>
      <c r="D52" s="20">
        <f t="shared" si="7"/>
        <v>16000</v>
      </c>
      <c r="E52" s="20" t="s">
        <v>252</v>
      </c>
    </row>
    <row r="53" spans="1:5" x14ac:dyDescent="0.15">
      <c r="A53" s="20">
        <f t="shared" ca="1" si="0"/>
        <v>184187</v>
      </c>
      <c r="B53" s="75">
        <f t="shared" si="5"/>
        <v>35.079999999999991</v>
      </c>
      <c r="C53" s="75">
        <f t="shared" si="6"/>
        <v>50.169999999999995</v>
      </c>
      <c r="D53" s="20">
        <f t="shared" si="7"/>
        <v>18000</v>
      </c>
      <c r="E53" s="20" t="s">
        <v>252</v>
      </c>
    </row>
    <row r="54" spans="1:5" x14ac:dyDescent="0.15">
      <c r="A54" s="20">
        <f t="shared" ca="1" si="0"/>
        <v>159825</v>
      </c>
      <c r="B54" s="75">
        <f t="shared" si="5"/>
        <v>34.949999999999989</v>
      </c>
      <c r="C54" s="75">
        <f t="shared" si="6"/>
        <v>49.999999999999993</v>
      </c>
      <c r="D54" s="20">
        <f t="shared" si="7"/>
        <v>20000</v>
      </c>
      <c r="E54" s="20" t="s">
        <v>252</v>
      </c>
    </row>
    <row r="55" spans="1:5" x14ac:dyDescent="0.15">
      <c r="A55" s="20">
        <f t="shared" ca="1" si="0"/>
        <v>156523</v>
      </c>
      <c r="B55" s="75">
        <f t="shared" si="5"/>
        <v>34.819999999999986</v>
      </c>
      <c r="C55" s="75">
        <f t="shared" si="6"/>
        <v>49.829999999999991</v>
      </c>
      <c r="D55" s="20">
        <f t="shared" si="7"/>
        <v>22000</v>
      </c>
      <c r="E55" s="20" t="s">
        <v>252</v>
      </c>
    </row>
    <row r="56" spans="1:5" x14ac:dyDescent="0.15">
      <c r="A56" s="20">
        <f t="shared" ca="1" si="0"/>
        <v>175710</v>
      </c>
      <c r="B56" s="75">
        <f t="shared" si="5"/>
        <v>34.689999999999984</v>
      </c>
      <c r="C56" s="75">
        <f t="shared" si="6"/>
        <v>49.659999999999989</v>
      </c>
      <c r="D56" s="20">
        <f t="shared" si="7"/>
        <v>24000</v>
      </c>
      <c r="E56" s="20" t="s">
        <v>252</v>
      </c>
    </row>
    <row r="57" spans="1:5" x14ac:dyDescent="0.15">
      <c r="A57" s="20">
        <f t="shared" ca="1" si="0"/>
        <v>166290</v>
      </c>
      <c r="B57" s="75">
        <f t="shared" si="5"/>
        <v>34.559999999999981</v>
      </c>
      <c r="C57" s="75">
        <f t="shared" si="6"/>
        <v>49.489999999999988</v>
      </c>
      <c r="D57" s="20">
        <f t="shared" si="7"/>
        <v>26000</v>
      </c>
      <c r="E57" s="20" t="s">
        <v>252</v>
      </c>
    </row>
    <row r="58" spans="1:5" x14ac:dyDescent="0.15">
      <c r="A58" s="20">
        <f t="shared" ca="1" si="0"/>
        <v>132330</v>
      </c>
      <c r="B58" s="75">
        <f t="shared" si="5"/>
        <v>34.429999999999978</v>
      </c>
      <c r="C58" s="75">
        <f t="shared" si="6"/>
        <v>49.319999999999986</v>
      </c>
      <c r="D58" s="20">
        <f t="shared" si="7"/>
        <v>28000</v>
      </c>
      <c r="E58" s="20" t="s">
        <v>252</v>
      </c>
    </row>
    <row r="59" spans="1:5" x14ac:dyDescent="0.15">
      <c r="A59" s="20">
        <f t="shared" ca="1" si="0"/>
        <v>137847</v>
      </c>
      <c r="B59" s="75">
        <f t="shared" si="5"/>
        <v>34.299999999999976</v>
      </c>
      <c r="C59" s="75">
        <f t="shared" si="6"/>
        <v>49.149999999999984</v>
      </c>
      <c r="D59" s="20">
        <f t="shared" si="7"/>
        <v>30000</v>
      </c>
      <c r="E59" s="20" t="s">
        <v>252</v>
      </c>
    </row>
    <row r="60" spans="1:5" x14ac:dyDescent="0.15">
      <c r="A60" s="20">
        <f t="shared" ca="1" si="0"/>
        <v>141527</v>
      </c>
      <c r="B60" s="75">
        <f t="shared" si="5"/>
        <v>34.169999999999973</v>
      </c>
      <c r="C60" s="75">
        <f t="shared" si="6"/>
        <v>48.979999999999983</v>
      </c>
      <c r="D60" s="20">
        <f t="shared" si="7"/>
        <v>32000</v>
      </c>
      <c r="E60" s="20" t="s">
        <v>252</v>
      </c>
    </row>
    <row r="61" spans="1:5" x14ac:dyDescent="0.15">
      <c r="A61" s="20">
        <f t="shared" ca="1" si="0"/>
        <v>165402</v>
      </c>
      <c r="B61" s="75">
        <f t="shared" si="5"/>
        <v>34.039999999999971</v>
      </c>
      <c r="C61" s="75">
        <f t="shared" si="6"/>
        <v>48.809999999999981</v>
      </c>
      <c r="D61" s="20">
        <f t="shared" si="7"/>
        <v>34000</v>
      </c>
      <c r="E61" s="20" t="s">
        <v>252</v>
      </c>
    </row>
    <row r="62" spans="1:5" x14ac:dyDescent="0.15">
      <c r="A62" s="20">
        <f t="shared" ca="1" si="0"/>
        <v>128357</v>
      </c>
      <c r="B62" s="75">
        <f t="shared" si="5"/>
        <v>33.909999999999968</v>
      </c>
      <c r="C62" s="75">
        <f t="shared" si="6"/>
        <v>48.639999999999979</v>
      </c>
      <c r="D62" s="20">
        <f t="shared" si="7"/>
        <v>36000</v>
      </c>
      <c r="E62" s="20" t="s">
        <v>252</v>
      </c>
    </row>
    <row r="63" spans="1:5" x14ac:dyDescent="0.15">
      <c r="A63" s="20">
        <f t="shared" ca="1" si="0"/>
        <v>128193</v>
      </c>
      <c r="B63" s="75">
        <f t="shared" si="5"/>
        <v>33.779999999999966</v>
      </c>
      <c r="C63" s="75">
        <f t="shared" si="6"/>
        <v>48.469999999999978</v>
      </c>
      <c r="D63" s="20">
        <f t="shared" si="7"/>
        <v>38000</v>
      </c>
      <c r="E63" s="20" t="s">
        <v>252</v>
      </c>
    </row>
    <row r="64" spans="1:5" x14ac:dyDescent="0.15">
      <c r="A64" s="20">
        <f t="shared" ca="1" si="0"/>
        <v>136404</v>
      </c>
      <c r="B64" s="75">
        <f t="shared" si="5"/>
        <v>33.649999999999963</v>
      </c>
      <c r="C64" s="75">
        <f t="shared" si="6"/>
        <v>48.299999999999976</v>
      </c>
      <c r="D64" s="20">
        <f t="shared" si="7"/>
        <v>40000</v>
      </c>
      <c r="E64" s="20" t="s">
        <v>252</v>
      </c>
    </row>
    <row r="65" spans="1:5" x14ac:dyDescent="0.15">
      <c r="A65" s="20">
        <f t="shared" ca="1" si="0"/>
        <v>174100</v>
      </c>
      <c r="B65" s="75">
        <f t="shared" si="5"/>
        <v>33.51999999999996</v>
      </c>
      <c r="C65" s="75">
        <f t="shared" si="6"/>
        <v>48.129999999999974</v>
      </c>
      <c r="D65" s="20">
        <f t="shared" si="7"/>
        <v>42000</v>
      </c>
      <c r="E65" s="20" t="s">
        <v>252</v>
      </c>
    </row>
    <row r="66" spans="1:5" x14ac:dyDescent="0.15">
      <c r="A66" s="20">
        <f t="shared" ca="1" si="0"/>
        <v>116064</v>
      </c>
      <c r="B66" s="75">
        <f t="shared" si="5"/>
        <v>33.389999999999958</v>
      </c>
      <c r="C66" s="75">
        <f t="shared" si="6"/>
        <v>47.959999999999972</v>
      </c>
      <c r="D66" s="20">
        <f t="shared" si="7"/>
        <v>44000</v>
      </c>
      <c r="E66" s="20" t="s">
        <v>252</v>
      </c>
    </row>
    <row r="67" spans="1:5" x14ac:dyDescent="0.15">
      <c r="A67" s="20">
        <f t="shared" ref="A67:A130" ca="1" si="8">RANDBETWEEN(100000,199999)</f>
        <v>106521</v>
      </c>
      <c r="B67" s="75">
        <f t="shared" si="5"/>
        <v>33.259999999999955</v>
      </c>
      <c r="C67" s="75">
        <f t="shared" si="6"/>
        <v>47.789999999999971</v>
      </c>
      <c r="D67" s="20">
        <f t="shared" si="7"/>
        <v>46000</v>
      </c>
      <c r="E67" s="20" t="s">
        <v>252</v>
      </c>
    </row>
    <row r="68" spans="1:5" x14ac:dyDescent="0.15">
      <c r="A68" s="20">
        <f t="shared" ca="1" si="8"/>
        <v>135583</v>
      </c>
      <c r="B68" s="75">
        <f t="shared" si="5"/>
        <v>33.129999999999953</v>
      </c>
      <c r="C68" s="75">
        <f t="shared" si="6"/>
        <v>47.619999999999969</v>
      </c>
      <c r="D68" s="20">
        <f t="shared" si="7"/>
        <v>48000</v>
      </c>
      <c r="E68" s="20" t="s">
        <v>252</v>
      </c>
    </row>
    <row r="69" spans="1:5" x14ac:dyDescent="0.15">
      <c r="A69" s="20">
        <f t="shared" ca="1" si="8"/>
        <v>142740</v>
      </c>
      <c r="B69" s="75">
        <f t="shared" si="5"/>
        <v>32.99999999999995</v>
      </c>
      <c r="C69" s="75">
        <f t="shared" si="6"/>
        <v>47.449999999999967</v>
      </c>
      <c r="D69" s="20">
        <f t="shared" si="7"/>
        <v>50000</v>
      </c>
      <c r="E69" s="20" t="s">
        <v>252</v>
      </c>
    </row>
    <row r="70" spans="1:5" x14ac:dyDescent="0.15">
      <c r="A70" s="20">
        <f t="shared" ca="1" si="8"/>
        <v>118191</v>
      </c>
      <c r="B70" s="75">
        <f t="shared" si="5"/>
        <v>32.869999999999948</v>
      </c>
      <c r="C70" s="75">
        <f t="shared" si="6"/>
        <v>47.279999999999966</v>
      </c>
      <c r="D70" s="20">
        <f t="shared" si="7"/>
        <v>52000</v>
      </c>
      <c r="E70" s="20" t="s">
        <v>252</v>
      </c>
    </row>
    <row r="71" spans="1:5" x14ac:dyDescent="0.15">
      <c r="A71" s="20">
        <f t="shared" ca="1" si="8"/>
        <v>196938</v>
      </c>
      <c r="B71" s="75">
        <f t="shared" si="5"/>
        <v>32.739999999999945</v>
      </c>
      <c r="C71" s="75">
        <f t="shared" si="6"/>
        <v>47.109999999999964</v>
      </c>
      <c r="D71" s="20">
        <f t="shared" si="7"/>
        <v>54000</v>
      </c>
      <c r="E71" s="20" t="s">
        <v>252</v>
      </c>
    </row>
    <row r="72" spans="1:5" x14ac:dyDescent="0.15">
      <c r="A72" s="20">
        <f t="shared" ca="1" si="8"/>
        <v>100302</v>
      </c>
      <c r="B72" s="75">
        <f t="shared" si="5"/>
        <v>32.609999999999943</v>
      </c>
      <c r="C72" s="75">
        <f t="shared" si="6"/>
        <v>46.939999999999962</v>
      </c>
      <c r="D72" s="20">
        <f t="shared" si="7"/>
        <v>56000</v>
      </c>
      <c r="E72" s="20" t="s">
        <v>252</v>
      </c>
    </row>
    <row r="73" spans="1:5" x14ac:dyDescent="0.15">
      <c r="A73" s="20">
        <f t="shared" ca="1" si="8"/>
        <v>130136</v>
      </c>
      <c r="B73" s="75">
        <f t="shared" si="5"/>
        <v>32.47999999999994</v>
      </c>
      <c r="C73" s="75">
        <f t="shared" si="6"/>
        <v>46.76999999999996</v>
      </c>
      <c r="D73" s="20">
        <f t="shared" si="7"/>
        <v>58000</v>
      </c>
      <c r="E73" s="20" t="s">
        <v>252</v>
      </c>
    </row>
    <row r="74" spans="1:5" x14ac:dyDescent="0.15">
      <c r="A74" s="20">
        <f t="shared" ca="1" si="8"/>
        <v>135725</v>
      </c>
      <c r="B74" s="75">
        <f t="shared" si="5"/>
        <v>32.349999999999937</v>
      </c>
      <c r="C74" s="75">
        <f t="shared" si="6"/>
        <v>46.599999999999959</v>
      </c>
      <c r="D74" s="20">
        <f t="shared" si="7"/>
        <v>60000</v>
      </c>
      <c r="E74" s="20" t="s">
        <v>252</v>
      </c>
    </row>
    <row r="75" spans="1:5" x14ac:dyDescent="0.15">
      <c r="A75" s="20">
        <f t="shared" ca="1" si="8"/>
        <v>144142</v>
      </c>
      <c r="B75" s="75">
        <f t="shared" si="5"/>
        <v>32.219999999999935</v>
      </c>
      <c r="C75" s="75">
        <f t="shared" si="6"/>
        <v>46.429999999999957</v>
      </c>
      <c r="D75" s="20">
        <f t="shared" si="7"/>
        <v>62000</v>
      </c>
      <c r="E75" s="20" t="s">
        <v>252</v>
      </c>
    </row>
    <row r="76" spans="1:5" x14ac:dyDescent="0.15">
      <c r="A76" s="20">
        <f t="shared" ca="1" si="8"/>
        <v>123542</v>
      </c>
      <c r="B76" s="75">
        <f t="shared" si="5"/>
        <v>32.089999999999932</v>
      </c>
      <c r="C76" s="75">
        <f t="shared" si="6"/>
        <v>46.259999999999955</v>
      </c>
      <c r="D76" s="20">
        <f t="shared" si="7"/>
        <v>64000</v>
      </c>
      <c r="E76" s="20" t="s">
        <v>252</v>
      </c>
    </row>
    <row r="77" spans="1:5" x14ac:dyDescent="0.15">
      <c r="A77" s="20">
        <f t="shared" ca="1" si="8"/>
        <v>195764</v>
      </c>
      <c r="B77" s="75">
        <f t="shared" si="5"/>
        <v>31.959999999999933</v>
      </c>
      <c r="C77" s="75">
        <f t="shared" si="6"/>
        <v>46.089999999999954</v>
      </c>
      <c r="D77" s="20">
        <f t="shared" si="7"/>
        <v>66000</v>
      </c>
      <c r="E77" s="20" t="s">
        <v>252</v>
      </c>
    </row>
    <row r="78" spans="1:5" x14ac:dyDescent="0.15">
      <c r="A78" s="20">
        <f t="shared" ca="1" si="8"/>
        <v>139654</v>
      </c>
      <c r="B78" s="75">
        <f t="shared" si="5"/>
        <v>31.829999999999934</v>
      </c>
      <c r="C78" s="75">
        <f t="shared" si="6"/>
        <v>45.919999999999952</v>
      </c>
      <c r="D78" s="20">
        <f t="shared" si="7"/>
        <v>68000</v>
      </c>
      <c r="E78" s="20" t="s">
        <v>252</v>
      </c>
    </row>
    <row r="79" spans="1:5" x14ac:dyDescent="0.15">
      <c r="A79" s="20">
        <f t="shared" ca="1" si="8"/>
        <v>146083</v>
      </c>
      <c r="B79" s="75">
        <f t="shared" si="5"/>
        <v>31.699999999999935</v>
      </c>
      <c r="C79" s="75">
        <f t="shared" si="6"/>
        <v>45.74999999999995</v>
      </c>
      <c r="D79" s="20">
        <f t="shared" si="7"/>
        <v>70000</v>
      </c>
      <c r="E79" s="20" t="s">
        <v>252</v>
      </c>
    </row>
    <row r="80" spans="1:5" x14ac:dyDescent="0.15">
      <c r="A80" s="20">
        <f t="shared" ca="1" si="8"/>
        <v>174393</v>
      </c>
      <c r="B80" s="75">
        <f t="shared" si="5"/>
        <v>31.569999999999936</v>
      </c>
      <c r="C80" s="75">
        <f t="shared" si="6"/>
        <v>45.579999999999949</v>
      </c>
      <c r="D80" s="20">
        <f t="shared" si="7"/>
        <v>72000</v>
      </c>
      <c r="E80" s="20" t="s">
        <v>252</v>
      </c>
    </row>
    <row r="81" spans="1:5" x14ac:dyDescent="0.15">
      <c r="A81" s="20">
        <f t="shared" ca="1" si="8"/>
        <v>168141</v>
      </c>
      <c r="B81" s="75">
        <f t="shared" si="5"/>
        <v>31.439999999999937</v>
      </c>
      <c r="C81" s="75">
        <f t="shared" si="6"/>
        <v>45.409999999999947</v>
      </c>
      <c r="D81" s="20">
        <f t="shared" si="7"/>
        <v>74000</v>
      </c>
      <c r="E81" s="20" t="s">
        <v>252</v>
      </c>
    </row>
    <row r="82" spans="1:5" x14ac:dyDescent="0.15">
      <c r="A82" s="20">
        <f t="shared" ca="1" si="8"/>
        <v>175503</v>
      </c>
      <c r="B82" s="75">
        <f t="shared" si="5"/>
        <v>31.309999999999938</v>
      </c>
      <c r="C82" s="75">
        <f t="shared" si="6"/>
        <v>45.239999999999945</v>
      </c>
      <c r="D82" s="20">
        <f t="shared" si="7"/>
        <v>76000</v>
      </c>
      <c r="E82" s="20" t="s">
        <v>252</v>
      </c>
    </row>
    <row r="83" spans="1:5" x14ac:dyDescent="0.15">
      <c r="A83" s="20">
        <f t="shared" ca="1" si="8"/>
        <v>103181</v>
      </c>
      <c r="B83" s="75">
        <f t="shared" si="5"/>
        <v>31.179999999999939</v>
      </c>
      <c r="C83" s="75">
        <f t="shared" si="6"/>
        <v>45.069999999999943</v>
      </c>
      <c r="D83" s="20">
        <f t="shared" si="7"/>
        <v>78000</v>
      </c>
      <c r="E83" s="20" t="s">
        <v>252</v>
      </c>
    </row>
    <row r="84" spans="1:5" x14ac:dyDescent="0.15">
      <c r="A84" s="20">
        <f t="shared" ca="1" si="8"/>
        <v>115834</v>
      </c>
      <c r="B84" s="75">
        <f t="shared" si="5"/>
        <v>31.04999999999994</v>
      </c>
      <c r="C84" s="75">
        <f t="shared" si="6"/>
        <v>44.899999999999942</v>
      </c>
      <c r="D84" s="20">
        <f t="shared" si="7"/>
        <v>80000</v>
      </c>
      <c r="E84" s="20" t="s">
        <v>252</v>
      </c>
    </row>
    <row r="85" spans="1:5" x14ac:dyDescent="0.15">
      <c r="A85" s="20">
        <f t="shared" ca="1" si="8"/>
        <v>149122</v>
      </c>
      <c r="B85" s="75">
        <f t="shared" si="5"/>
        <v>30.919999999999941</v>
      </c>
      <c r="C85" s="75">
        <f t="shared" si="6"/>
        <v>44.72999999999994</v>
      </c>
      <c r="D85" s="20">
        <f t="shared" si="7"/>
        <v>82000</v>
      </c>
      <c r="E85" s="20" t="s">
        <v>252</v>
      </c>
    </row>
    <row r="86" spans="1:5" x14ac:dyDescent="0.15">
      <c r="A86" s="20">
        <f t="shared" ca="1" si="8"/>
        <v>155796</v>
      </c>
      <c r="B86" s="75">
        <f t="shared" si="5"/>
        <v>30.789999999999942</v>
      </c>
      <c r="C86" s="75">
        <f t="shared" si="6"/>
        <v>44.559999999999938</v>
      </c>
      <c r="D86" s="20">
        <f t="shared" si="7"/>
        <v>84000</v>
      </c>
      <c r="E86" s="20" t="s">
        <v>252</v>
      </c>
    </row>
    <row r="87" spans="1:5" x14ac:dyDescent="0.15">
      <c r="A87" s="20">
        <f t="shared" ca="1" si="8"/>
        <v>190391</v>
      </c>
      <c r="B87" s="75">
        <f t="shared" si="5"/>
        <v>30.659999999999943</v>
      </c>
      <c r="C87" s="75">
        <f t="shared" si="6"/>
        <v>44.389999999999937</v>
      </c>
      <c r="D87" s="20">
        <f t="shared" si="7"/>
        <v>86000</v>
      </c>
      <c r="E87" s="20" t="s">
        <v>252</v>
      </c>
    </row>
    <row r="88" spans="1:5" x14ac:dyDescent="0.15">
      <c r="A88" s="20">
        <f t="shared" ca="1" si="8"/>
        <v>179919</v>
      </c>
      <c r="B88" s="75">
        <f t="shared" si="5"/>
        <v>30.529999999999944</v>
      </c>
      <c r="C88" s="75">
        <f t="shared" si="6"/>
        <v>44.219999999999935</v>
      </c>
      <c r="D88" s="20">
        <f t="shared" si="7"/>
        <v>88000</v>
      </c>
      <c r="E88" s="20" t="s">
        <v>252</v>
      </c>
    </row>
    <row r="89" spans="1:5" x14ac:dyDescent="0.15">
      <c r="A89" s="20">
        <f t="shared" ca="1" si="8"/>
        <v>186469</v>
      </c>
      <c r="B89" s="75">
        <f t="shared" si="5"/>
        <v>30.399999999999945</v>
      </c>
      <c r="C89" s="75">
        <f t="shared" si="6"/>
        <v>44.049999999999933</v>
      </c>
      <c r="D89" s="20">
        <f t="shared" si="7"/>
        <v>90000</v>
      </c>
      <c r="E89" s="20" t="s">
        <v>252</v>
      </c>
    </row>
    <row r="90" spans="1:5" x14ac:dyDescent="0.15">
      <c r="A90" s="20">
        <f t="shared" ca="1" si="8"/>
        <v>189889</v>
      </c>
      <c r="B90" s="75">
        <f t="shared" si="5"/>
        <v>30.269999999999946</v>
      </c>
      <c r="C90" s="75">
        <f t="shared" si="6"/>
        <v>43.879999999999932</v>
      </c>
      <c r="D90" s="20">
        <f t="shared" si="7"/>
        <v>92000</v>
      </c>
      <c r="E90" s="20" t="s">
        <v>252</v>
      </c>
    </row>
    <row r="91" spans="1:5" x14ac:dyDescent="0.15">
      <c r="A91" s="20">
        <f t="shared" ca="1" si="8"/>
        <v>122356</v>
      </c>
      <c r="B91" s="75">
        <f t="shared" si="5"/>
        <v>30.139999999999947</v>
      </c>
      <c r="C91" s="75">
        <f t="shared" si="6"/>
        <v>43.70999999999993</v>
      </c>
      <c r="D91" s="20">
        <f t="shared" si="7"/>
        <v>94000</v>
      </c>
      <c r="E91" s="20" t="s">
        <v>252</v>
      </c>
    </row>
    <row r="92" spans="1:5" x14ac:dyDescent="0.15">
      <c r="A92" s="20">
        <f t="shared" ca="1" si="8"/>
        <v>167809</v>
      </c>
      <c r="B92" s="75">
        <f t="shared" si="5"/>
        <v>30.009999999999948</v>
      </c>
      <c r="C92" s="75">
        <f t="shared" si="6"/>
        <v>43.539999999999928</v>
      </c>
      <c r="D92" s="20">
        <f t="shared" si="7"/>
        <v>96000</v>
      </c>
      <c r="E92" s="20" t="s">
        <v>252</v>
      </c>
    </row>
    <row r="93" spans="1:5" x14ac:dyDescent="0.15">
      <c r="A93" s="20">
        <f t="shared" ca="1" si="8"/>
        <v>141559</v>
      </c>
      <c r="B93" s="75">
        <f t="shared" si="5"/>
        <v>29.879999999999949</v>
      </c>
      <c r="C93" s="75">
        <f t="shared" si="6"/>
        <v>43.369999999999926</v>
      </c>
      <c r="D93" s="20">
        <f t="shared" si="7"/>
        <v>98000</v>
      </c>
      <c r="E93" s="20" t="s">
        <v>252</v>
      </c>
    </row>
    <row r="94" spans="1:5" x14ac:dyDescent="0.15">
      <c r="A94" s="20">
        <f t="shared" ca="1" si="8"/>
        <v>194962</v>
      </c>
      <c r="B94" s="75">
        <f t="shared" si="5"/>
        <v>29.74999999999995</v>
      </c>
      <c r="C94" s="75">
        <f t="shared" si="6"/>
        <v>43.199999999999925</v>
      </c>
      <c r="D94" s="20">
        <f t="shared" si="7"/>
        <v>100000</v>
      </c>
      <c r="E94" s="20" t="s">
        <v>252</v>
      </c>
    </row>
    <row r="95" spans="1:5" x14ac:dyDescent="0.15">
      <c r="A95" s="20">
        <f t="shared" ca="1" si="8"/>
        <v>103246</v>
      </c>
      <c r="B95" s="75">
        <f t="shared" si="5"/>
        <v>29.619999999999951</v>
      </c>
      <c r="C95" s="75">
        <f t="shared" si="6"/>
        <v>43.029999999999923</v>
      </c>
      <c r="D95" s="20">
        <f t="shared" si="7"/>
        <v>102000</v>
      </c>
      <c r="E95" s="20" t="s">
        <v>252</v>
      </c>
    </row>
    <row r="96" spans="1:5" x14ac:dyDescent="0.15">
      <c r="A96" s="20">
        <f t="shared" ca="1" si="8"/>
        <v>101734</v>
      </c>
      <c r="B96" s="75">
        <f t="shared" si="5"/>
        <v>29.489999999999952</v>
      </c>
      <c r="C96" s="75">
        <f t="shared" si="6"/>
        <v>42.859999999999921</v>
      </c>
      <c r="D96" s="20">
        <f t="shared" si="7"/>
        <v>104000</v>
      </c>
      <c r="E96" s="20" t="s">
        <v>252</v>
      </c>
    </row>
    <row r="97" spans="1:5" x14ac:dyDescent="0.15">
      <c r="A97" s="20">
        <f t="shared" ca="1" si="8"/>
        <v>125864</v>
      </c>
      <c r="B97" s="75">
        <f t="shared" si="5"/>
        <v>29.359999999999953</v>
      </c>
      <c r="C97" s="75">
        <f t="shared" si="6"/>
        <v>42.68999999999992</v>
      </c>
      <c r="D97" s="20">
        <f t="shared" si="7"/>
        <v>106000</v>
      </c>
      <c r="E97" s="20" t="s">
        <v>252</v>
      </c>
    </row>
    <row r="98" spans="1:5" x14ac:dyDescent="0.15">
      <c r="A98" s="20">
        <f t="shared" ca="1" si="8"/>
        <v>185051</v>
      </c>
      <c r="B98" s="75">
        <v>78.2</v>
      </c>
      <c r="C98" s="75">
        <v>112</v>
      </c>
      <c r="D98" s="20">
        <v>1000</v>
      </c>
      <c r="E98" s="20" t="s">
        <v>252</v>
      </c>
    </row>
    <row r="99" spans="1:5" x14ac:dyDescent="0.15">
      <c r="A99" s="20">
        <f t="shared" ca="1" si="8"/>
        <v>150799</v>
      </c>
      <c r="B99" s="75">
        <f>B98-0.14</f>
        <v>78.06</v>
      </c>
      <c r="C99" s="75">
        <f>C98-0.12</f>
        <v>111.88</v>
      </c>
      <c r="D99" s="20">
        <f>D98+500</f>
        <v>1500</v>
      </c>
      <c r="E99" s="20" t="s">
        <v>252</v>
      </c>
    </row>
    <row r="100" spans="1:5" x14ac:dyDescent="0.15">
      <c r="A100" s="20">
        <f t="shared" ca="1" si="8"/>
        <v>142990</v>
      </c>
      <c r="B100" s="75">
        <f t="shared" ref="B100:B148" si="9">B99-0.14</f>
        <v>77.92</v>
      </c>
      <c r="C100" s="75">
        <f t="shared" ref="C100:C148" si="10">C99-0.12</f>
        <v>111.75999999999999</v>
      </c>
      <c r="D100" s="20">
        <f t="shared" ref="D100:D148" si="11">D99+500</f>
        <v>2000</v>
      </c>
      <c r="E100" s="20" t="s">
        <v>252</v>
      </c>
    </row>
    <row r="101" spans="1:5" x14ac:dyDescent="0.15">
      <c r="A101" s="20">
        <f t="shared" ca="1" si="8"/>
        <v>147836</v>
      </c>
      <c r="B101" s="75">
        <f t="shared" si="9"/>
        <v>77.78</v>
      </c>
      <c r="C101" s="75">
        <f t="shared" si="10"/>
        <v>111.63999999999999</v>
      </c>
      <c r="D101" s="20">
        <f t="shared" si="11"/>
        <v>2500</v>
      </c>
      <c r="E101" s="20" t="s">
        <v>252</v>
      </c>
    </row>
    <row r="102" spans="1:5" x14ac:dyDescent="0.15">
      <c r="A102" s="20">
        <f t="shared" ca="1" si="8"/>
        <v>154122</v>
      </c>
      <c r="B102" s="75">
        <f t="shared" si="9"/>
        <v>77.64</v>
      </c>
      <c r="C102" s="75">
        <f t="shared" si="10"/>
        <v>111.51999999999998</v>
      </c>
      <c r="D102" s="20">
        <f t="shared" si="11"/>
        <v>3000</v>
      </c>
      <c r="E102" s="20" t="s">
        <v>252</v>
      </c>
    </row>
    <row r="103" spans="1:5" x14ac:dyDescent="0.15">
      <c r="A103" s="20">
        <f t="shared" ca="1" si="8"/>
        <v>146193</v>
      </c>
      <c r="B103" s="75">
        <f t="shared" si="9"/>
        <v>77.5</v>
      </c>
      <c r="C103" s="75">
        <f t="shared" si="10"/>
        <v>111.39999999999998</v>
      </c>
      <c r="D103" s="20">
        <f t="shared" si="11"/>
        <v>3500</v>
      </c>
      <c r="E103" s="20" t="s">
        <v>252</v>
      </c>
    </row>
    <row r="104" spans="1:5" x14ac:dyDescent="0.15">
      <c r="A104" s="20">
        <f t="shared" ca="1" si="8"/>
        <v>178515</v>
      </c>
      <c r="B104" s="75">
        <f t="shared" si="9"/>
        <v>77.36</v>
      </c>
      <c r="C104" s="75">
        <f t="shared" si="10"/>
        <v>111.27999999999997</v>
      </c>
      <c r="D104" s="20">
        <f t="shared" si="11"/>
        <v>4000</v>
      </c>
      <c r="E104" s="20" t="s">
        <v>252</v>
      </c>
    </row>
    <row r="105" spans="1:5" x14ac:dyDescent="0.15">
      <c r="A105" s="20">
        <f t="shared" ca="1" si="8"/>
        <v>199524</v>
      </c>
      <c r="B105" s="75">
        <f t="shared" si="9"/>
        <v>77.22</v>
      </c>
      <c r="C105" s="75">
        <f t="shared" si="10"/>
        <v>111.15999999999997</v>
      </c>
      <c r="D105" s="20">
        <f t="shared" si="11"/>
        <v>4500</v>
      </c>
      <c r="E105" s="20" t="s">
        <v>252</v>
      </c>
    </row>
    <row r="106" spans="1:5" x14ac:dyDescent="0.15">
      <c r="A106" s="20">
        <f t="shared" ca="1" si="8"/>
        <v>109634</v>
      </c>
      <c r="B106" s="75">
        <f t="shared" si="9"/>
        <v>77.08</v>
      </c>
      <c r="C106" s="75">
        <f t="shared" si="10"/>
        <v>111.03999999999996</v>
      </c>
      <c r="D106" s="20">
        <f t="shared" si="11"/>
        <v>5000</v>
      </c>
      <c r="E106" s="20" t="s">
        <v>252</v>
      </c>
    </row>
    <row r="107" spans="1:5" x14ac:dyDescent="0.15">
      <c r="A107" s="20">
        <f t="shared" ca="1" si="8"/>
        <v>195234</v>
      </c>
      <c r="B107" s="75">
        <f t="shared" si="9"/>
        <v>76.94</v>
      </c>
      <c r="C107" s="75">
        <f t="shared" si="10"/>
        <v>110.91999999999996</v>
      </c>
      <c r="D107" s="20">
        <f t="shared" si="11"/>
        <v>5500</v>
      </c>
      <c r="E107" s="20" t="s">
        <v>252</v>
      </c>
    </row>
    <row r="108" spans="1:5" x14ac:dyDescent="0.15">
      <c r="A108" s="20">
        <f t="shared" ca="1" si="8"/>
        <v>165675</v>
      </c>
      <c r="B108" s="75">
        <f t="shared" si="9"/>
        <v>76.8</v>
      </c>
      <c r="C108" s="75">
        <f t="shared" si="10"/>
        <v>110.79999999999995</v>
      </c>
      <c r="D108" s="20">
        <f t="shared" si="11"/>
        <v>6000</v>
      </c>
      <c r="E108" s="20" t="s">
        <v>252</v>
      </c>
    </row>
    <row r="109" spans="1:5" x14ac:dyDescent="0.15">
      <c r="A109" s="20">
        <f t="shared" ca="1" si="8"/>
        <v>101319</v>
      </c>
      <c r="B109" s="75">
        <f t="shared" si="9"/>
        <v>76.66</v>
      </c>
      <c r="C109" s="75">
        <f t="shared" si="10"/>
        <v>110.67999999999995</v>
      </c>
      <c r="D109" s="20">
        <f t="shared" si="11"/>
        <v>6500</v>
      </c>
      <c r="E109" s="20" t="s">
        <v>252</v>
      </c>
    </row>
    <row r="110" spans="1:5" x14ac:dyDescent="0.15">
      <c r="A110" s="20">
        <f t="shared" ca="1" si="8"/>
        <v>182568</v>
      </c>
      <c r="B110" s="75">
        <f t="shared" si="9"/>
        <v>76.52</v>
      </c>
      <c r="C110" s="75">
        <f t="shared" si="10"/>
        <v>110.55999999999995</v>
      </c>
      <c r="D110" s="20">
        <f t="shared" si="11"/>
        <v>7000</v>
      </c>
      <c r="E110" s="20" t="s">
        <v>252</v>
      </c>
    </row>
    <row r="111" spans="1:5" x14ac:dyDescent="0.15">
      <c r="A111" s="20">
        <f t="shared" ca="1" si="8"/>
        <v>170615</v>
      </c>
      <c r="B111" s="75">
        <f t="shared" si="9"/>
        <v>76.38</v>
      </c>
      <c r="C111" s="75">
        <f t="shared" si="10"/>
        <v>110.43999999999994</v>
      </c>
      <c r="D111" s="20">
        <f t="shared" si="11"/>
        <v>7500</v>
      </c>
      <c r="E111" s="20" t="s">
        <v>252</v>
      </c>
    </row>
    <row r="112" spans="1:5" x14ac:dyDescent="0.15">
      <c r="A112" s="20">
        <f t="shared" ca="1" si="8"/>
        <v>120601</v>
      </c>
      <c r="B112" s="75">
        <f t="shared" si="9"/>
        <v>76.239999999999995</v>
      </c>
      <c r="C112" s="75">
        <f t="shared" si="10"/>
        <v>110.31999999999994</v>
      </c>
      <c r="D112" s="20">
        <f t="shared" si="11"/>
        <v>8000</v>
      </c>
      <c r="E112" s="20" t="s">
        <v>252</v>
      </c>
    </row>
    <row r="113" spans="1:5" x14ac:dyDescent="0.15">
      <c r="A113" s="20">
        <f t="shared" ca="1" si="8"/>
        <v>139818</v>
      </c>
      <c r="B113" s="75">
        <f t="shared" si="9"/>
        <v>76.099999999999994</v>
      </c>
      <c r="C113" s="75">
        <f t="shared" si="10"/>
        <v>110.19999999999993</v>
      </c>
      <c r="D113" s="20">
        <f t="shared" si="11"/>
        <v>8500</v>
      </c>
      <c r="E113" s="20" t="s">
        <v>252</v>
      </c>
    </row>
    <row r="114" spans="1:5" x14ac:dyDescent="0.15">
      <c r="A114" s="20">
        <f t="shared" ca="1" si="8"/>
        <v>188064</v>
      </c>
      <c r="B114" s="75">
        <f t="shared" si="9"/>
        <v>75.959999999999994</v>
      </c>
      <c r="C114" s="75">
        <f t="shared" si="10"/>
        <v>110.07999999999993</v>
      </c>
      <c r="D114" s="20">
        <f t="shared" si="11"/>
        <v>9000</v>
      </c>
      <c r="E114" s="20" t="s">
        <v>252</v>
      </c>
    </row>
    <row r="115" spans="1:5" x14ac:dyDescent="0.15">
      <c r="A115" s="20">
        <f t="shared" ca="1" si="8"/>
        <v>173087</v>
      </c>
      <c r="B115" s="75">
        <f t="shared" si="9"/>
        <v>75.819999999999993</v>
      </c>
      <c r="C115" s="75">
        <f t="shared" si="10"/>
        <v>109.95999999999992</v>
      </c>
      <c r="D115" s="20">
        <f t="shared" si="11"/>
        <v>9500</v>
      </c>
      <c r="E115" s="20" t="s">
        <v>252</v>
      </c>
    </row>
    <row r="116" spans="1:5" x14ac:dyDescent="0.15">
      <c r="A116" s="20">
        <f t="shared" ca="1" si="8"/>
        <v>139721</v>
      </c>
      <c r="B116" s="75">
        <f t="shared" si="9"/>
        <v>75.679999999999993</v>
      </c>
      <c r="C116" s="75">
        <f t="shared" si="10"/>
        <v>109.83999999999992</v>
      </c>
      <c r="D116" s="20">
        <f t="shared" si="11"/>
        <v>10000</v>
      </c>
      <c r="E116" s="20" t="s">
        <v>252</v>
      </c>
    </row>
    <row r="117" spans="1:5" x14ac:dyDescent="0.15">
      <c r="A117" s="20">
        <f t="shared" ca="1" si="8"/>
        <v>194182</v>
      </c>
      <c r="B117" s="75">
        <f t="shared" si="9"/>
        <v>75.539999999999992</v>
      </c>
      <c r="C117" s="75">
        <f t="shared" si="10"/>
        <v>109.71999999999991</v>
      </c>
      <c r="D117" s="20">
        <f t="shared" si="11"/>
        <v>10500</v>
      </c>
      <c r="E117" s="20" t="s">
        <v>252</v>
      </c>
    </row>
    <row r="118" spans="1:5" x14ac:dyDescent="0.15">
      <c r="A118" s="20">
        <f t="shared" ca="1" si="8"/>
        <v>131150</v>
      </c>
      <c r="B118" s="75">
        <f t="shared" si="9"/>
        <v>75.399999999999991</v>
      </c>
      <c r="C118" s="75">
        <f t="shared" si="10"/>
        <v>109.59999999999991</v>
      </c>
      <c r="D118" s="20">
        <f t="shared" si="11"/>
        <v>11000</v>
      </c>
      <c r="E118" s="20" t="s">
        <v>252</v>
      </c>
    </row>
    <row r="119" spans="1:5" x14ac:dyDescent="0.15">
      <c r="A119" s="20">
        <f t="shared" ca="1" si="8"/>
        <v>166355</v>
      </c>
      <c r="B119" s="75">
        <f t="shared" si="9"/>
        <v>75.259999999999991</v>
      </c>
      <c r="C119" s="75">
        <f t="shared" si="10"/>
        <v>109.4799999999999</v>
      </c>
      <c r="D119" s="20">
        <f t="shared" si="11"/>
        <v>11500</v>
      </c>
      <c r="E119" s="20" t="s">
        <v>252</v>
      </c>
    </row>
    <row r="120" spans="1:5" x14ac:dyDescent="0.15">
      <c r="A120" s="20">
        <f t="shared" ca="1" si="8"/>
        <v>137862</v>
      </c>
      <c r="B120" s="75">
        <f t="shared" si="9"/>
        <v>75.11999999999999</v>
      </c>
      <c r="C120" s="75">
        <f t="shared" si="10"/>
        <v>109.3599999999999</v>
      </c>
      <c r="D120" s="20">
        <f t="shared" si="11"/>
        <v>12000</v>
      </c>
      <c r="E120" s="20" t="s">
        <v>252</v>
      </c>
    </row>
    <row r="121" spans="1:5" x14ac:dyDescent="0.15">
      <c r="A121" s="20">
        <f t="shared" ca="1" si="8"/>
        <v>104917</v>
      </c>
      <c r="B121" s="75">
        <f t="shared" si="9"/>
        <v>74.97999999999999</v>
      </c>
      <c r="C121" s="75">
        <f t="shared" si="10"/>
        <v>109.2399999999999</v>
      </c>
      <c r="D121" s="20">
        <f t="shared" si="11"/>
        <v>12500</v>
      </c>
      <c r="E121" s="20" t="s">
        <v>252</v>
      </c>
    </row>
    <row r="122" spans="1:5" x14ac:dyDescent="0.15">
      <c r="A122" s="20">
        <f t="shared" ca="1" si="8"/>
        <v>132959</v>
      </c>
      <c r="B122" s="75">
        <f t="shared" si="9"/>
        <v>74.839999999999989</v>
      </c>
      <c r="C122" s="75">
        <f t="shared" si="10"/>
        <v>109.11999999999989</v>
      </c>
      <c r="D122" s="20">
        <f t="shared" si="11"/>
        <v>13000</v>
      </c>
      <c r="E122" s="20" t="s">
        <v>252</v>
      </c>
    </row>
    <row r="123" spans="1:5" x14ac:dyDescent="0.15">
      <c r="A123" s="20">
        <f t="shared" ca="1" si="8"/>
        <v>122131</v>
      </c>
      <c r="B123" s="75">
        <f t="shared" si="9"/>
        <v>74.699999999999989</v>
      </c>
      <c r="C123" s="75">
        <f t="shared" si="10"/>
        <v>108.99999999999989</v>
      </c>
      <c r="D123" s="20">
        <f t="shared" si="11"/>
        <v>13500</v>
      </c>
      <c r="E123" s="20" t="s">
        <v>252</v>
      </c>
    </row>
    <row r="124" spans="1:5" x14ac:dyDescent="0.15">
      <c r="A124" s="20">
        <f t="shared" ca="1" si="8"/>
        <v>134670</v>
      </c>
      <c r="B124" s="75">
        <f t="shared" si="9"/>
        <v>74.559999999999988</v>
      </c>
      <c r="C124" s="75">
        <f t="shared" si="10"/>
        <v>108.87999999999988</v>
      </c>
      <c r="D124" s="20">
        <f t="shared" si="11"/>
        <v>14000</v>
      </c>
      <c r="E124" s="20" t="s">
        <v>252</v>
      </c>
    </row>
    <row r="125" spans="1:5" x14ac:dyDescent="0.15">
      <c r="A125" s="20">
        <f t="shared" ca="1" si="8"/>
        <v>184478</v>
      </c>
      <c r="B125" s="75">
        <f t="shared" si="9"/>
        <v>74.419999999999987</v>
      </c>
      <c r="C125" s="75">
        <f t="shared" si="10"/>
        <v>108.75999999999988</v>
      </c>
      <c r="D125" s="20">
        <f t="shared" si="11"/>
        <v>14500</v>
      </c>
      <c r="E125" s="20" t="s">
        <v>252</v>
      </c>
    </row>
    <row r="126" spans="1:5" x14ac:dyDescent="0.15">
      <c r="A126" s="20">
        <f t="shared" ca="1" si="8"/>
        <v>118617</v>
      </c>
      <c r="B126" s="75">
        <f t="shared" si="9"/>
        <v>74.279999999999987</v>
      </c>
      <c r="C126" s="75">
        <f t="shared" si="10"/>
        <v>108.63999999999987</v>
      </c>
      <c r="D126" s="20">
        <f t="shared" si="11"/>
        <v>15000</v>
      </c>
      <c r="E126" s="20" t="s">
        <v>252</v>
      </c>
    </row>
    <row r="127" spans="1:5" x14ac:dyDescent="0.15">
      <c r="A127" s="20">
        <f t="shared" ca="1" si="8"/>
        <v>165600</v>
      </c>
      <c r="B127" s="75">
        <f t="shared" si="9"/>
        <v>74.139999999999986</v>
      </c>
      <c r="C127" s="75">
        <f t="shared" si="10"/>
        <v>108.51999999999987</v>
      </c>
      <c r="D127" s="20">
        <f t="shared" si="11"/>
        <v>15500</v>
      </c>
      <c r="E127" s="20" t="s">
        <v>252</v>
      </c>
    </row>
    <row r="128" spans="1:5" x14ac:dyDescent="0.15">
      <c r="A128" s="20">
        <f t="shared" ca="1" si="8"/>
        <v>172147</v>
      </c>
      <c r="B128" s="75">
        <f t="shared" si="9"/>
        <v>73.999999999999986</v>
      </c>
      <c r="C128" s="75">
        <f t="shared" si="10"/>
        <v>108.39999999999986</v>
      </c>
      <c r="D128" s="20">
        <f t="shared" si="11"/>
        <v>16000</v>
      </c>
      <c r="E128" s="20" t="s">
        <v>252</v>
      </c>
    </row>
    <row r="129" spans="1:5" x14ac:dyDescent="0.15">
      <c r="A129" s="20">
        <f t="shared" ca="1" si="8"/>
        <v>168766</v>
      </c>
      <c r="B129" s="75">
        <f t="shared" si="9"/>
        <v>73.859999999999985</v>
      </c>
      <c r="C129" s="75">
        <f t="shared" si="10"/>
        <v>108.27999999999986</v>
      </c>
      <c r="D129" s="20">
        <f t="shared" si="11"/>
        <v>16500</v>
      </c>
      <c r="E129" s="20" t="s">
        <v>252</v>
      </c>
    </row>
    <row r="130" spans="1:5" x14ac:dyDescent="0.15">
      <c r="A130" s="20">
        <f t="shared" ca="1" si="8"/>
        <v>110956</v>
      </c>
      <c r="B130" s="75">
        <f t="shared" si="9"/>
        <v>73.719999999999985</v>
      </c>
      <c r="C130" s="75">
        <f t="shared" si="10"/>
        <v>108.15999999999985</v>
      </c>
      <c r="D130" s="20">
        <f t="shared" si="11"/>
        <v>17000</v>
      </c>
      <c r="E130" s="20" t="s">
        <v>252</v>
      </c>
    </row>
    <row r="131" spans="1:5" x14ac:dyDescent="0.15">
      <c r="A131" s="20">
        <f t="shared" ref="A131:A194" ca="1" si="12">RANDBETWEEN(100000,199999)</f>
        <v>183770</v>
      </c>
      <c r="B131" s="75">
        <f t="shared" si="9"/>
        <v>73.579999999999984</v>
      </c>
      <c r="C131" s="75">
        <f t="shared" si="10"/>
        <v>108.03999999999985</v>
      </c>
      <c r="D131" s="20">
        <f t="shared" si="11"/>
        <v>17500</v>
      </c>
      <c r="E131" s="20" t="s">
        <v>252</v>
      </c>
    </row>
    <row r="132" spans="1:5" x14ac:dyDescent="0.15">
      <c r="A132" s="20">
        <f t="shared" ca="1" si="12"/>
        <v>134209</v>
      </c>
      <c r="B132" s="75">
        <f t="shared" si="9"/>
        <v>73.439999999999984</v>
      </c>
      <c r="C132" s="75">
        <f t="shared" si="10"/>
        <v>107.91999999999985</v>
      </c>
      <c r="D132" s="20">
        <f t="shared" si="11"/>
        <v>18000</v>
      </c>
      <c r="E132" s="20" t="s">
        <v>252</v>
      </c>
    </row>
    <row r="133" spans="1:5" x14ac:dyDescent="0.15">
      <c r="A133" s="20">
        <f t="shared" ca="1" si="12"/>
        <v>139069</v>
      </c>
      <c r="B133" s="75">
        <f t="shared" si="9"/>
        <v>73.299999999999983</v>
      </c>
      <c r="C133" s="75">
        <f t="shared" si="10"/>
        <v>107.79999999999984</v>
      </c>
      <c r="D133" s="20">
        <f t="shared" si="11"/>
        <v>18500</v>
      </c>
      <c r="E133" s="20" t="s">
        <v>252</v>
      </c>
    </row>
    <row r="134" spans="1:5" x14ac:dyDescent="0.15">
      <c r="A134" s="20">
        <f t="shared" ca="1" si="12"/>
        <v>153736</v>
      </c>
      <c r="B134" s="75">
        <f t="shared" si="9"/>
        <v>73.159999999999982</v>
      </c>
      <c r="C134" s="75">
        <f t="shared" si="10"/>
        <v>107.67999999999984</v>
      </c>
      <c r="D134" s="20">
        <f t="shared" si="11"/>
        <v>19000</v>
      </c>
      <c r="E134" s="20" t="s">
        <v>252</v>
      </c>
    </row>
    <row r="135" spans="1:5" x14ac:dyDescent="0.15">
      <c r="A135" s="20">
        <f t="shared" ca="1" si="12"/>
        <v>108795</v>
      </c>
      <c r="B135" s="75">
        <f t="shared" si="9"/>
        <v>73.019999999999982</v>
      </c>
      <c r="C135" s="75">
        <f t="shared" si="10"/>
        <v>107.55999999999983</v>
      </c>
      <c r="D135" s="20">
        <f t="shared" si="11"/>
        <v>19500</v>
      </c>
      <c r="E135" s="20" t="s">
        <v>252</v>
      </c>
    </row>
    <row r="136" spans="1:5" x14ac:dyDescent="0.15">
      <c r="A136" s="20">
        <f t="shared" ca="1" si="12"/>
        <v>156911</v>
      </c>
      <c r="B136" s="75">
        <f t="shared" si="9"/>
        <v>72.879999999999981</v>
      </c>
      <c r="C136" s="75">
        <f t="shared" si="10"/>
        <v>107.43999999999983</v>
      </c>
      <c r="D136" s="20">
        <f t="shared" si="11"/>
        <v>20000</v>
      </c>
      <c r="E136" s="20" t="s">
        <v>252</v>
      </c>
    </row>
    <row r="137" spans="1:5" x14ac:dyDescent="0.15">
      <c r="A137" s="20">
        <f t="shared" ca="1" si="12"/>
        <v>143353</v>
      </c>
      <c r="B137" s="75">
        <f t="shared" si="9"/>
        <v>72.739999999999981</v>
      </c>
      <c r="C137" s="75">
        <f t="shared" si="10"/>
        <v>107.31999999999982</v>
      </c>
      <c r="D137" s="20">
        <f t="shared" si="11"/>
        <v>20500</v>
      </c>
      <c r="E137" s="20" t="s">
        <v>252</v>
      </c>
    </row>
    <row r="138" spans="1:5" x14ac:dyDescent="0.15">
      <c r="A138" s="20">
        <f t="shared" ca="1" si="12"/>
        <v>159869</v>
      </c>
      <c r="B138" s="75">
        <f t="shared" si="9"/>
        <v>72.59999999999998</v>
      </c>
      <c r="C138" s="75">
        <f t="shared" si="10"/>
        <v>107.19999999999982</v>
      </c>
      <c r="D138" s="20">
        <f t="shared" si="11"/>
        <v>21000</v>
      </c>
      <c r="E138" s="20" t="s">
        <v>252</v>
      </c>
    </row>
    <row r="139" spans="1:5" x14ac:dyDescent="0.15">
      <c r="A139" s="20">
        <f t="shared" ca="1" si="12"/>
        <v>180102</v>
      </c>
      <c r="B139" s="75">
        <f t="shared" si="9"/>
        <v>72.45999999999998</v>
      </c>
      <c r="C139" s="75">
        <f t="shared" si="10"/>
        <v>107.07999999999981</v>
      </c>
      <c r="D139" s="20">
        <f t="shared" si="11"/>
        <v>21500</v>
      </c>
      <c r="E139" s="20" t="s">
        <v>252</v>
      </c>
    </row>
    <row r="140" spans="1:5" x14ac:dyDescent="0.15">
      <c r="A140" s="20">
        <f t="shared" ca="1" si="12"/>
        <v>123225</v>
      </c>
      <c r="B140" s="75">
        <f t="shared" si="9"/>
        <v>72.319999999999979</v>
      </c>
      <c r="C140" s="75">
        <f t="shared" si="10"/>
        <v>106.95999999999981</v>
      </c>
      <c r="D140" s="20">
        <f t="shared" si="11"/>
        <v>22000</v>
      </c>
      <c r="E140" s="20" t="s">
        <v>252</v>
      </c>
    </row>
    <row r="141" spans="1:5" x14ac:dyDescent="0.15">
      <c r="A141" s="20">
        <f t="shared" ca="1" si="12"/>
        <v>166112</v>
      </c>
      <c r="B141" s="75">
        <f t="shared" si="9"/>
        <v>72.179999999999978</v>
      </c>
      <c r="C141" s="75">
        <f t="shared" si="10"/>
        <v>106.8399999999998</v>
      </c>
      <c r="D141" s="20">
        <f t="shared" si="11"/>
        <v>22500</v>
      </c>
      <c r="E141" s="20" t="s">
        <v>252</v>
      </c>
    </row>
    <row r="142" spans="1:5" x14ac:dyDescent="0.15">
      <c r="A142" s="20">
        <f t="shared" ca="1" si="12"/>
        <v>175577</v>
      </c>
      <c r="B142" s="75">
        <f t="shared" si="9"/>
        <v>72.039999999999978</v>
      </c>
      <c r="C142" s="75">
        <f t="shared" si="10"/>
        <v>106.7199999999998</v>
      </c>
      <c r="D142" s="20">
        <f t="shared" si="11"/>
        <v>23000</v>
      </c>
      <c r="E142" s="20" t="s">
        <v>252</v>
      </c>
    </row>
    <row r="143" spans="1:5" x14ac:dyDescent="0.15">
      <c r="A143" s="20">
        <f t="shared" ca="1" si="12"/>
        <v>111447</v>
      </c>
      <c r="B143" s="75">
        <f t="shared" si="9"/>
        <v>71.899999999999977</v>
      </c>
      <c r="C143" s="75">
        <f t="shared" si="10"/>
        <v>106.5999999999998</v>
      </c>
      <c r="D143" s="20">
        <f t="shared" si="11"/>
        <v>23500</v>
      </c>
      <c r="E143" s="20" t="s">
        <v>252</v>
      </c>
    </row>
    <row r="144" spans="1:5" x14ac:dyDescent="0.15">
      <c r="A144" s="20">
        <f t="shared" ca="1" si="12"/>
        <v>166654</v>
      </c>
      <c r="B144" s="75">
        <f t="shared" si="9"/>
        <v>71.759999999999977</v>
      </c>
      <c r="C144" s="75">
        <f t="shared" si="10"/>
        <v>106.47999999999979</v>
      </c>
      <c r="D144" s="20">
        <f t="shared" si="11"/>
        <v>24000</v>
      </c>
      <c r="E144" s="20" t="s">
        <v>252</v>
      </c>
    </row>
    <row r="145" spans="1:5" x14ac:dyDescent="0.15">
      <c r="A145" s="20">
        <f t="shared" ca="1" si="12"/>
        <v>191791</v>
      </c>
      <c r="B145" s="75">
        <f t="shared" si="9"/>
        <v>71.619999999999976</v>
      </c>
      <c r="C145" s="75">
        <f t="shared" si="10"/>
        <v>106.35999999999979</v>
      </c>
      <c r="D145" s="20">
        <f t="shared" si="11"/>
        <v>24500</v>
      </c>
      <c r="E145" s="20" t="s">
        <v>252</v>
      </c>
    </row>
    <row r="146" spans="1:5" x14ac:dyDescent="0.15">
      <c r="A146" s="20">
        <f t="shared" ca="1" si="12"/>
        <v>156907</v>
      </c>
      <c r="B146" s="75">
        <f t="shared" si="9"/>
        <v>71.479999999999976</v>
      </c>
      <c r="C146" s="75">
        <f t="shared" si="10"/>
        <v>106.23999999999978</v>
      </c>
      <c r="D146" s="20">
        <f t="shared" si="11"/>
        <v>25000</v>
      </c>
      <c r="E146" s="20" t="s">
        <v>252</v>
      </c>
    </row>
    <row r="147" spans="1:5" x14ac:dyDescent="0.15">
      <c r="A147" s="20">
        <f t="shared" ca="1" si="12"/>
        <v>175038</v>
      </c>
      <c r="B147" s="75">
        <f t="shared" si="9"/>
        <v>71.339999999999975</v>
      </c>
      <c r="C147" s="75">
        <f t="shared" si="10"/>
        <v>106.11999999999978</v>
      </c>
      <c r="D147" s="20">
        <f t="shared" si="11"/>
        <v>25500</v>
      </c>
      <c r="E147" s="20" t="s">
        <v>252</v>
      </c>
    </row>
    <row r="148" spans="1:5" x14ac:dyDescent="0.15">
      <c r="A148" s="20">
        <f t="shared" ca="1" si="12"/>
        <v>182231</v>
      </c>
      <c r="B148" s="75">
        <f t="shared" si="9"/>
        <v>71.199999999999974</v>
      </c>
      <c r="C148" s="75">
        <f t="shared" si="10"/>
        <v>105.99999999999977</v>
      </c>
      <c r="D148" s="20">
        <f t="shared" si="11"/>
        <v>26000</v>
      </c>
      <c r="E148" s="20" t="s">
        <v>252</v>
      </c>
    </row>
    <row r="149" spans="1:5" x14ac:dyDescent="0.15">
      <c r="A149" s="20">
        <f t="shared" ca="1" si="12"/>
        <v>187311</v>
      </c>
      <c r="B149" s="75">
        <f ca="1">RANDBETWEEN(24,75) - 0.12</f>
        <v>64.88</v>
      </c>
      <c r="C149" s="75">
        <f ca="1">B149/0.7</f>
        <v>92.685714285714283</v>
      </c>
      <c r="D149" s="20">
        <f ca="1">RANDBETWEEN(10000,100000)</f>
        <v>62670</v>
      </c>
      <c r="E149" s="20" t="s">
        <v>256</v>
      </c>
    </row>
    <row r="150" spans="1:5" x14ac:dyDescent="0.15">
      <c r="A150" s="20">
        <f t="shared" ca="1" si="12"/>
        <v>189350</v>
      </c>
      <c r="B150" s="75">
        <f t="shared" ref="B150:B213" ca="1" si="13">RANDBETWEEN(24,75) - 0.13</f>
        <v>51.87</v>
      </c>
      <c r="C150" s="75">
        <f t="shared" ref="C150:C213" ca="1" si="14">B150/0.7</f>
        <v>74.099999999999994</v>
      </c>
      <c r="D150" s="20">
        <f t="shared" ref="D150:D213" ca="1" si="15">RANDBETWEEN(10000,100000)</f>
        <v>44080</v>
      </c>
      <c r="E150" s="20" t="s">
        <v>256</v>
      </c>
    </row>
    <row r="151" spans="1:5" x14ac:dyDescent="0.15">
      <c r="A151" s="20">
        <f t="shared" ca="1" si="12"/>
        <v>134269</v>
      </c>
      <c r="B151" s="75">
        <f t="shared" ca="1" si="13"/>
        <v>36.869999999999997</v>
      </c>
      <c r="C151" s="75">
        <f t="shared" ca="1" si="14"/>
        <v>52.671428571428571</v>
      </c>
      <c r="D151" s="20">
        <f t="shared" ca="1" si="15"/>
        <v>61399</v>
      </c>
      <c r="E151" s="20" t="s">
        <v>256</v>
      </c>
    </row>
    <row r="152" spans="1:5" x14ac:dyDescent="0.15">
      <c r="A152" s="20">
        <f t="shared" ca="1" si="12"/>
        <v>110862</v>
      </c>
      <c r="B152" s="75">
        <f t="shared" ca="1" si="13"/>
        <v>36.869999999999997</v>
      </c>
      <c r="C152" s="75">
        <f t="shared" ca="1" si="14"/>
        <v>52.671428571428571</v>
      </c>
      <c r="D152" s="20">
        <f t="shared" ca="1" si="15"/>
        <v>33804</v>
      </c>
      <c r="E152" s="20" t="s">
        <v>256</v>
      </c>
    </row>
    <row r="153" spans="1:5" x14ac:dyDescent="0.15">
      <c r="A153" s="20">
        <f t="shared" ca="1" si="12"/>
        <v>153537</v>
      </c>
      <c r="B153" s="75">
        <f t="shared" ca="1" si="13"/>
        <v>55.87</v>
      </c>
      <c r="C153" s="75">
        <f t="shared" ca="1" si="14"/>
        <v>79.814285714285717</v>
      </c>
      <c r="D153" s="20">
        <f t="shared" ca="1" si="15"/>
        <v>87566</v>
      </c>
      <c r="E153" s="20" t="s">
        <v>256</v>
      </c>
    </row>
    <row r="154" spans="1:5" x14ac:dyDescent="0.15">
      <c r="A154" s="20">
        <f t="shared" ca="1" si="12"/>
        <v>165371</v>
      </c>
      <c r="B154" s="75">
        <f t="shared" ca="1" si="13"/>
        <v>42.87</v>
      </c>
      <c r="C154" s="75">
        <f t="shared" ca="1" si="14"/>
        <v>61.24285714285714</v>
      </c>
      <c r="D154" s="20">
        <f t="shared" ca="1" si="15"/>
        <v>17069</v>
      </c>
      <c r="E154" s="20" t="s">
        <v>256</v>
      </c>
    </row>
    <row r="155" spans="1:5" x14ac:dyDescent="0.15">
      <c r="A155" s="20">
        <f t="shared" ca="1" si="12"/>
        <v>130509</v>
      </c>
      <c r="B155" s="75">
        <f t="shared" ca="1" si="13"/>
        <v>73.87</v>
      </c>
      <c r="C155" s="75">
        <f t="shared" ca="1" si="14"/>
        <v>105.52857142857144</v>
      </c>
      <c r="D155" s="20">
        <f t="shared" ca="1" si="15"/>
        <v>91643</v>
      </c>
      <c r="E155" s="20" t="s">
        <v>256</v>
      </c>
    </row>
    <row r="156" spans="1:5" x14ac:dyDescent="0.15">
      <c r="A156" s="20">
        <f t="shared" ca="1" si="12"/>
        <v>143216</v>
      </c>
      <c r="B156" s="75">
        <f t="shared" ca="1" si="13"/>
        <v>27.87</v>
      </c>
      <c r="C156" s="75">
        <f t="shared" ca="1" si="14"/>
        <v>39.814285714285717</v>
      </c>
      <c r="D156" s="20">
        <f t="shared" ca="1" si="15"/>
        <v>55461</v>
      </c>
      <c r="E156" s="20" t="s">
        <v>256</v>
      </c>
    </row>
    <row r="157" spans="1:5" x14ac:dyDescent="0.15">
      <c r="A157" s="20">
        <f t="shared" ca="1" si="12"/>
        <v>181014</v>
      </c>
      <c r="B157" s="75">
        <f t="shared" ca="1" si="13"/>
        <v>38.869999999999997</v>
      </c>
      <c r="C157" s="75">
        <f t="shared" ca="1" si="14"/>
        <v>55.528571428571425</v>
      </c>
      <c r="D157" s="20">
        <f t="shared" ca="1" si="15"/>
        <v>43235</v>
      </c>
      <c r="E157" s="20" t="s">
        <v>256</v>
      </c>
    </row>
    <row r="158" spans="1:5" x14ac:dyDescent="0.15">
      <c r="A158" s="20">
        <f t="shared" ca="1" si="12"/>
        <v>170216</v>
      </c>
      <c r="B158" s="75">
        <f t="shared" ca="1" si="13"/>
        <v>58.87</v>
      </c>
      <c r="C158" s="75">
        <f t="shared" ca="1" si="14"/>
        <v>84.100000000000009</v>
      </c>
      <c r="D158" s="20">
        <f t="shared" ca="1" si="15"/>
        <v>66118</v>
      </c>
      <c r="E158" s="20" t="s">
        <v>256</v>
      </c>
    </row>
    <row r="159" spans="1:5" x14ac:dyDescent="0.15">
      <c r="A159" s="20">
        <f t="shared" ca="1" si="12"/>
        <v>113558</v>
      </c>
      <c r="B159" s="75">
        <f t="shared" ca="1" si="13"/>
        <v>49.87</v>
      </c>
      <c r="C159" s="75">
        <f t="shared" ca="1" si="14"/>
        <v>71.242857142857147</v>
      </c>
      <c r="D159" s="20">
        <f t="shared" ca="1" si="15"/>
        <v>11820</v>
      </c>
      <c r="E159" s="20" t="s">
        <v>256</v>
      </c>
    </row>
    <row r="160" spans="1:5" x14ac:dyDescent="0.15">
      <c r="A160" s="20">
        <f t="shared" ca="1" si="12"/>
        <v>197530</v>
      </c>
      <c r="B160" s="75">
        <f t="shared" ca="1" si="13"/>
        <v>41.87</v>
      </c>
      <c r="C160" s="75">
        <f t="shared" ca="1" si="14"/>
        <v>59.814285714285717</v>
      </c>
      <c r="D160" s="20">
        <f t="shared" ca="1" si="15"/>
        <v>51147</v>
      </c>
      <c r="E160" s="20" t="s">
        <v>256</v>
      </c>
    </row>
    <row r="161" spans="1:5" x14ac:dyDescent="0.15">
      <c r="A161" s="20">
        <f t="shared" ca="1" si="12"/>
        <v>192038</v>
      </c>
      <c r="B161" s="75">
        <f t="shared" ca="1" si="13"/>
        <v>44.87</v>
      </c>
      <c r="C161" s="75">
        <f t="shared" ca="1" si="14"/>
        <v>64.099999999999994</v>
      </c>
      <c r="D161" s="20">
        <f t="shared" ca="1" si="15"/>
        <v>22189</v>
      </c>
      <c r="E161" s="20" t="s">
        <v>256</v>
      </c>
    </row>
    <row r="162" spans="1:5" x14ac:dyDescent="0.15">
      <c r="A162" s="20">
        <f t="shared" ca="1" si="12"/>
        <v>185265</v>
      </c>
      <c r="B162" s="75">
        <f t="shared" ca="1" si="13"/>
        <v>59.87</v>
      </c>
      <c r="C162" s="75">
        <f t="shared" ca="1" si="14"/>
        <v>85.528571428571425</v>
      </c>
      <c r="D162" s="20">
        <f t="shared" ca="1" si="15"/>
        <v>83182</v>
      </c>
      <c r="E162" s="20" t="s">
        <v>256</v>
      </c>
    </row>
    <row r="163" spans="1:5" x14ac:dyDescent="0.15">
      <c r="A163" s="20">
        <f t="shared" ca="1" si="12"/>
        <v>199060</v>
      </c>
      <c r="B163" s="75">
        <f t="shared" ca="1" si="13"/>
        <v>68.87</v>
      </c>
      <c r="C163" s="75">
        <f t="shared" ca="1" si="14"/>
        <v>98.3857142857143</v>
      </c>
      <c r="D163" s="20">
        <f t="shared" ca="1" si="15"/>
        <v>90417</v>
      </c>
      <c r="E163" s="20" t="s">
        <v>256</v>
      </c>
    </row>
    <row r="164" spans="1:5" x14ac:dyDescent="0.15">
      <c r="A164" s="20">
        <f t="shared" ca="1" si="12"/>
        <v>148228</v>
      </c>
      <c r="B164" s="75">
        <f t="shared" ca="1" si="13"/>
        <v>40.869999999999997</v>
      </c>
      <c r="C164" s="75">
        <f t="shared" ca="1" si="14"/>
        <v>58.385714285714286</v>
      </c>
      <c r="D164" s="20">
        <f t="shared" ca="1" si="15"/>
        <v>22557</v>
      </c>
      <c r="E164" s="20" t="s">
        <v>256</v>
      </c>
    </row>
    <row r="165" spans="1:5" x14ac:dyDescent="0.15">
      <c r="A165" s="20">
        <f t="shared" ca="1" si="12"/>
        <v>168370</v>
      </c>
      <c r="B165" s="75">
        <f t="shared" ca="1" si="13"/>
        <v>30.87</v>
      </c>
      <c r="C165" s="75">
        <f t="shared" ca="1" si="14"/>
        <v>44.1</v>
      </c>
      <c r="D165" s="20">
        <f t="shared" ca="1" si="15"/>
        <v>71370</v>
      </c>
      <c r="E165" s="20" t="s">
        <v>256</v>
      </c>
    </row>
    <row r="166" spans="1:5" x14ac:dyDescent="0.15">
      <c r="A166" s="20">
        <f t="shared" ca="1" si="12"/>
        <v>182990</v>
      </c>
      <c r="B166" s="75">
        <f t="shared" ca="1" si="13"/>
        <v>33.869999999999997</v>
      </c>
      <c r="C166" s="75">
        <f t="shared" ca="1" si="14"/>
        <v>48.385714285714286</v>
      </c>
      <c r="D166" s="20">
        <f t="shared" ca="1" si="15"/>
        <v>52694</v>
      </c>
      <c r="E166" s="20" t="s">
        <v>256</v>
      </c>
    </row>
    <row r="167" spans="1:5" x14ac:dyDescent="0.15">
      <c r="A167" s="20">
        <f t="shared" ca="1" si="12"/>
        <v>125131</v>
      </c>
      <c r="B167" s="75">
        <f t="shared" ca="1" si="13"/>
        <v>67.87</v>
      </c>
      <c r="C167" s="75">
        <f t="shared" ca="1" si="14"/>
        <v>96.95714285714287</v>
      </c>
      <c r="D167" s="20">
        <f t="shared" ca="1" si="15"/>
        <v>70445</v>
      </c>
      <c r="E167" s="20" t="s">
        <v>256</v>
      </c>
    </row>
    <row r="168" spans="1:5" x14ac:dyDescent="0.15">
      <c r="A168" s="20">
        <f t="shared" ca="1" si="12"/>
        <v>194119</v>
      </c>
      <c r="B168" s="75">
        <f t="shared" ca="1" si="13"/>
        <v>51.87</v>
      </c>
      <c r="C168" s="75">
        <f t="shared" ca="1" si="14"/>
        <v>74.099999999999994</v>
      </c>
      <c r="D168" s="20">
        <f t="shared" ca="1" si="15"/>
        <v>43382</v>
      </c>
      <c r="E168" s="20" t="s">
        <v>256</v>
      </c>
    </row>
    <row r="169" spans="1:5" x14ac:dyDescent="0.15">
      <c r="A169" s="20">
        <f t="shared" ca="1" si="12"/>
        <v>122509</v>
      </c>
      <c r="B169" s="75">
        <f t="shared" ca="1" si="13"/>
        <v>28.87</v>
      </c>
      <c r="C169" s="75">
        <f t="shared" ca="1" si="14"/>
        <v>41.242857142857147</v>
      </c>
      <c r="D169" s="20">
        <f t="shared" ca="1" si="15"/>
        <v>58604</v>
      </c>
      <c r="E169" s="20" t="s">
        <v>256</v>
      </c>
    </row>
    <row r="170" spans="1:5" x14ac:dyDescent="0.15">
      <c r="A170" s="20">
        <f t="shared" ca="1" si="12"/>
        <v>128056</v>
      </c>
      <c r="B170" s="75">
        <f t="shared" ca="1" si="13"/>
        <v>51.87</v>
      </c>
      <c r="C170" s="75">
        <f t="shared" ca="1" si="14"/>
        <v>74.099999999999994</v>
      </c>
      <c r="D170" s="20">
        <f t="shared" ca="1" si="15"/>
        <v>48283</v>
      </c>
      <c r="E170" s="20" t="s">
        <v>256</v>
      </c>
    </row>
    <row r="171" spans="1:5" x14ac:dyDescent="0.15">
      <c r="A171" s="20">
        <f t="shared" ca="1" si="12"/>
        <v>163285</v>
      </c>
      <c r="B171" s="75">
        <f t="shared" ca="1" si="13"/>
        <v>66.87</v>
      </c>
      <c r="C171" s="75">
        <f t="shared" ca="1" si="14"/>
        <v>95.528571428571439</v>
      </c>
      <c r="D171" s="20">
        <f t="shared" ca="1" si="15"/>
        <v>50874</v>
      </c>
      <c r="E171" s="20" t="s">
        <v>256</v>
      </c>
    </row>
    <row r="172" spans="1:5" x14ac:dyDescent="0.15">
      <c r="A172" s="20">
        <f t="shared" ca="1" si="12"/>
        <v>158979</v>
      </c>
      <c r="B172" s="75">
        <f t="shared" ca="1" si="13"/>
        <v>56.87</v>
      </c>
      <c r="C172" s="75">
        <f t="shared" ca="1" si="14"/>
        <v>81.242857142857147</v>
      </c>
      <c r="D172" s="20">
        <f t="shared" ca="1" si="15"/>
        <v>81333</v>
      </c>
      <c r="E172" s="20" t="s">
        <v>256</v>
      </c>
    </row>
    <row r="173" spans="1:5" x14ac:dyDescent="0.15">
      <c r="A173" s="20">
        <f t="shared" ca="1" si="12"/>
        <v>107851</v>
      </c>
      <c r="B173" s="75">
        <f t="shared" ca="1" si="13"/>
        <v>46.87</v>
      </c>
      <c r="C173" s="75">
        <f t="shared" ca="1" si="14"/>
        <v>66.957142857142856</v>
      </c>
      <c r="D173" s="20">
        <f t="shared" ca="1" si="15"/>
        <v>12176</v>
      </c>
      <c r="E173" s="20" t="s">
        <v>256</v>
      </c>
    </row>
    <row r="174" spans="1:5" x14ac:dyDescent="0.15">
      <c r="A174" s="20">
        <f t="shared" ca="1" si="12"/>
        <v>147947</v>
      </c>
      <c r="B174" s="75">
        <f t="shared" ca="1" si="13"/>
        <v>60.87</v>
      </c>
      <c r="C174" s="75">
        <f t="shared" ca="1" si="14"/>
        <v>86.957142857142856</v>
      </c>
      <c r="D174" s="20">
        <f t="shared" ca="1" si="15"/>
        <v>80649</v>
      </c>
      <c r="E174" s="20" t="s">
        <v>256</v>
      </c>
    </row>
    <row r="175" spans="1:5" x14ac:dyDescent="0.15">
      <c r="A175" s="20">
        <f t="shared" ca="1" si="12"/>
        <v>183668</v>
      </c>
      <c r="B175" s="75">
        <f t="shared" ca="1" si="13"/>
        <v>40.869999999999997</v>
      </c>
      <c r="C175" s="75">
        <f t="shared" ca="1" si="14"/>
        <v>58.385714285714286</v>
      </c>
      <c r="D175" s="20">
        <f t="shared" ca="1" si="15"/>
        <v>61657</v>
      </c>
      <c r="E175" s="20" t="s">
        <v>256</v>
      </c>
    </row>
    <row r="176" spans="1:5" x14ac:dyDescent="0.15">
      <c r="A176" s="20">
        <f t="shared" ca="1" si="12"/>
        <v>180784</v>
      </c>
      <c r="B176" s="75">
        <f t="shared" ca="1" si="13"/>
        <v>26.87</v>
      </c>
      <c r="C176" s="75">
        <f t="shared" ca="1" si="14"/>
        <v>38.385714285714286</v>
      </c>
      <c r="D176" s="20">
        <f t="shared" ca="1" si="15"/>
        <v>13875</v>
      </c>
      <c r="E176" s="20" t="s">
        <v>256</v>
      </c>
    </row>
    <row r="177" spans="1:5" x14ac:dyDescent="0.15">
      <c r="A177" s="20">
        <f t="shared" ca="1" si="12"/>
        <v>175960</v>
      </c>
      <c r="B177" s="75">
        <f t="shared" ca="1" si="13"/>
        <v>23.87</v>
      </c>
      <c r="C177" s="75">
        <f t="shared" ca="1" si="14"/>
        <v>34.1</v>
      </c>
      <c r="D177" s="20">
        <f t="shared" ca="1" si="15"/>
        <v>31504</v>
      </c>
      <c r="E177" s="20" t="s">
        <v>256</v>
      </c>
    </row>
    <row r="178" spans="1:5" x14ac:dyDescent="0.15">
      <c r="A178" s="20">
        <f t="shared" ca="1" si="12"/>
        <v>198593</v>
      </c>
      <c r="B178" s="75">
        <f t="shared" ca="1" si="13"/>
        <v>45.87</v>
      </c>
      <c r="C178" s="75">
        <f t="shared" ca="1" si="14"/>
        <v>65.528571428571425</v>
      </c>
      <c r="D178" s="20">
        <f t="shared" ca="1" si="15"/>
        <v>37910</v>
      </c>
      <c r="E178" s="20" t="s">
        <v>256</v>
      </c>
    </row>
    <row r="179" spans="1:5" x14ac:dyDescent="0.15">
      <c r="A179" s="20">
        <f t="shared" ca="1" si="12"/>
        <v>185815</v>
      </c>
      <c r="B179" s="75">
        <f t="shared" ca="1" si="13"/>
        <v>52.87</v>
      </c>
      <c r="C179" s="75">
        <f t="shared" ca="1" si="14"/>
        <v>75.528571428571425</v>
      </c>
      <c r="D179" s="20">
        <f t="shared" ca="1" si="15"/>
        <v>76766</v>
      </c>
      <c r="E179" s="20" t="s">
        <v>256</v>
      </c>
    </row>
    <row r="180" spans="1:5" x14ac:dyDescent="0.15">
      <c r="A180" s="20">
        <f t="shared" ca="1" si="12"/>
        <v>119960</v>
      </c>
      <c r="B180" s="75">
        <f t="shared" ca="1" si="13"/>
        <v>23.87</v>
      </c>
      <c r="C180" s="75">
        <f t="shared" ca="1" si="14"/>
        <v>34.1</v>
      </c>
      <c r="D180" s="20">
        <f t="shared" ca="1" si="15"/>
        <v>78981</v>
      </c>
      <c r="E180" s="20" t="s">
        <v>256</v>
      </c>
    </row>
    <row r="181" spans="1:5" x14ac:dyDescent="0.15">
      <c r="A181" s="20">
        <f t="shared" ca="1" si="12"/>
        <v>132190</v>
      </c>
      <c r="B181" s="75">
        <f t="shared" ca="1" si="13"/>
        <v>70.87</v>
      </c>
      <c r="C181" s="75">
        <f t="shared" ca="1" si="14"/>
        <v>101.24285714285716</v>
      </c>
      <c r="D181" s="20">
        <f t="shared" ca="1" si="15"/>
        <v>66846</v>
      </c>
      <c r="E181" s="20" t="s">
        <v>256</v>
      </c>
    </row>
    <row r="182" spans="1:5" x14ac:dyDescent="0.15">
      <c r="A182" s="20">
        <f t="shared" ca="1" si="12"/>
        <v>138362</v>
      </c>
      <c r="B182" s="75">
        <f t="shared" ca="1" si="13"/>
        <v>38.869999999999997</v>
      </c>
      <c r="C182" s="75">
        <f t="shared" ca="1" si="14"/>
        <v>55.528571428571425</v>
      </c>
      <c r="D182" s="20">
        <f t="shared" ca="1" si="15"/>
        <v>47838</v>
      </c>
      <c r="E182" s="20" t="s">
        <v>256</v>
      </c>
    </row>
    <row r="183" spans="1:5" x14ac:dyDescent="0.15">
      <c r="A183" s="20">
        <f t="shared" ca="1" si="12"/>
        <v>139360</v>
      </c>
      <c r="B183" s="75">
        <f t="shared" ca="1" si="13"/>
        <v>63.87</v>
      </c>
      <c r="C183" s="75">
        <f t="shared" ca="1" si="14"/>
        <v>91.242857142857147</v>
      </c>
      <c r="D183" s="20">
        <f t="shared" ca="1" si="15"/>
        <v>47966</v>
      </c>
      <c r="E183" s="20" t="s">
        <v>256</v>
      </c>
    </row>
    <row r="184" spans="1:5" x14ac:dyDescent="0.15">
      <c r="A184" s="20">
        <f t="shared" ca="1" si="12"/>
        <v>163979</v>
      </c>
      <c r="B184" s="75">
        <f t="shared" ca="1" si="13"/>
        <v>36.869999999999997</v>
      </c>
      <c r="C184" s="75">
        <f t="shared" ca="1" si="14"/>
        <v>52.671428571428571</v>
      </c>
      <c r="D184" s="20">
        <f t="shared" ca="1" si="15"/>
        <v>34825</v>
      </c>
      <c r="E184" s="20" t="s">
        <v>256</v>
      </c>
    </row>
    <row r="185" spans="1:5" x14ac:dyDescent="0.15">
      <c r="A185" s="20">
        <f t="shared" ca="1" si="12"/>
        <v>169039</v>
      </c>
      <c r="B185" s="75">
        <f t="shared" ca="1" si="13"/>
        <v>33.869999999999997</v>
      </c>
      <c r="C185" s="75">
        <f t="shared" ca="1" si="14"/>
        <v>48.385714285714286</v>
      </c>
      <c r="D185" s="20">
        <f t="shared" ca="1" si="15"/>
        <v>22445</v>
      </c>
      <c r="E185" s="20" t="s">
        <v>256</v>
      </c>
    </row>
    <row r="186" spans="1:5" x14ac:dyDescent="0.15">
      <c r="A186" s="20">
        <f t="shared" ca="1" si="12"/>
        <v>117569</v>
      </c>
      <c r="B186" s="75">
        <f t="shared" ca="1" si="13"/>
        <v>47.87</v>
      </c>
      <c r="C186" s="75">
        <f t="shared" ca="1" si="14"/>
        <v>68.385714285714286</v>
      </c>
      <c r="D186" s="20">
        <f t="shared" ca="1" si="15"/>
        <v>43165</v>
      </c>
      <c r="E186" s="20" t="s">
        <v>256</v>
      </c>
    </row>
    <row r="187" spans="1:5" x14ac:dyDescent="0.15">
      <c r="A187" s="20">
        <f t="shared" ca="1" si="12"/>
        <v>109044</v>
      </c>
      <c r="B187" s="75">
        <f t="shared" ca="1" si="13"/>
        <v>61.87</v>
      </c>
      <c r="C187" s="75">
        <f t="shared" ca="1" si="14"/>
        <v>88.385714285714286</v>
      </c>
      <c r="D187" s="20">
        <f t="shared" ca="1" si="15"/>
        <v>97114</v>
      </c>
      <c r="E187" s="20" t="s">
        <v>256</v>
      </c>
    </row>
    <row r="188" spans="1:5" x14ac:dyDescent="0.15">
      <c r="A188" s="20">
        <f t="shared" ca="1" si="12"/>
        <v>167523</v>
      </c>
      <c r="B188" s="75">
        <f t="shared" ca="1" si="13"/>
        <v>72.87</v>
      </c>
      <c r="C188" s="75">
        <f t="shared" ca="1" si="14"/>
        <v>104.10000000000001</v>
      </c>
      <c r="D188" s="20">
        <f t="shared" ca="1" si="15"/>
        <v>73360</v>
      </c>
      <c r="E188" s="20" t="s">
        <v>256</v>
      </c>
    </row>
    <row r="189" spans="1:5" x14ac:dyDescent="0.15">
      <c r="A189" s="20">
        <f t="shared" ca="1" si="12"/>
        <v>148330</v>
      </c>
      <c r="B189" s="75">
        <f t="shared" ca="1" si="13"/>
        <v>42.87</v>
      </c>
      <c r="C189" s="75">
        <f t="shared" ca="1" si="14"/>
        <v>61.24285714285714</v>
      </c>
      <c r="D189" s="20">
        <f t="shared" ca="1" si="15"/>
        <v>96359</v>
      </c>
      <c r="E189" s="20" t="s">
        <v>256</v>
      </c>
    </row>
    <row r="190" spans="1:5" x14ac:dyDescent="0.15">
      <c r="A190" s="20">
        <f t="shared" ca="1" si="12"/>
        <v>187052</v>
      </c>
      <c r="B190" s="75">
        <f t="shared" ca="1" si="13"/>
        <v>39.869999999999997</v>
      </c>
      <c r="C190" s="75">
        <f t="shared" ca="1" si="14"/>
        <v>56.957142857142856</v>
      </c>
      <c r="D190" s="20">
        <f t="shared" ca="1" si="15"/>
        <v>12448</v>
      </c>
      <c r="E190" s="20" t="s">
        <v>256</v>
      </c>
    </row>
    <row r="191" spans="1:5" x14ac:dyDescent="0.15">
      <c r="A191" s="20">
        <f t="shared" ca="1" si="12"/>
        <v>160725</v>
      </c>
      <c r="B191" s="75">
        <f t="shared" ca="1" si="13"/>
        <v>62.87</v>
      </c>
      <c r="C191" s="75">
        <f t="shared" ca="1" si="14"/>
        <v>89.814285714285717</v>
      </c>
      <c r="D191" s="20">
        <f t="shared" ca="1" si="15"/>
        <v>87044</v>
      </c>
      <c r="E191" s="20" t="s">
        <v>256</v>
      </c>
    </row>
    <row r="192" spans="1:5" x14ac:dyDescent="0.15">
      <c r="A192" s="20">
        <f t="shared" ca="1" si="12"/>
        <v>167595</v>
      </c>
      <c r="B192" s="75">
        <f t="shared" ca="1" si="13"/>
        <v>37.869999999999997</v>
      </c>
      <c r="C192" s="75">
        <f t="shared" ca="1" si="14"/>
        <v>54.1</v>
      </c>
      <c r="D192" s="20">
        <f t="shared" ca="1" si="15"/>
        <v>42873</v>
      </c>
      <c r="E192" s="20" t="s">
        <v>256</v>
      </c>
    </row>
    <row r="193" spans="1:5" x14ac:dyDescent="0.15">
      <c r="A193" s="20">
        <f t="shared" ca="1" si="12"/>
        <v>176283</v>
      </c>
      <c r="B193" s="75">
        <f t="shared" ca="1" si="13"/>
        <v>67.87</v>
      </c>
      <c r="C193" s="75">
        <f t="shared" ca="1" si="14"/>
        <v>96.95714285714287</v>
      </c>
      <c r="D193" s="20">
        <f t="shared" ca="1" si="15"/>
        <v>75853</v>
      </c>
      <c r="E193" s="20" t="s">
        <v>256</v>
      </c>
    </row>
    <row r="194" spans="1:5" x14ac:dyDescent="0.15">
      <c r="A194" s="20">
        <f t="shared" ca="1" si="12"/>
        <v>191687</v>
      </c>
      <c r="B194" s="75">
        <f t="shared" ca="1" si="13"/>
        <v>38.869999999999997</v>
      </c>
      <c r="C194" s="75">
        <f t="shared" ca="1" si="14"/>
        <v>55.528571428571425</v>
      </c>
      <c r="D194" s="20">
        <f t="shared" ca="1" si="15"/>
        <v>24695</v>
      </c>
      <c r="E194" s="20" t="s">
        <v>256</v>
      </c>
    </row>
    <row r="195" spans="1:5" x14ac:dyDescent="0.15">
      <c r="A195" s="20">
        <f t="shared" ref="A195:A258" ca="1" si="16">RANDBETWEEN(100000,199999)</f>
        <v>139312</v>
      </c>
      <c r="B195" s="75">
        <f t="shared" ca="1" si="13"/>
        <v>52.87</v>
      </c>
      <c r="C195" s="75">
        <f t="shared" ca="1" si="14"/>
        <v>75.528571428571425</v>
      </c>
      <c r="D195" s="20">
        <f t="shared" ca="1" si="15"/>
        <v>24915</v>
      </c>
      <c r="E195" s="20" t="s">
        <v>256</v>
      </c>
    </row>
    <row r="196" spans="1:5" x14ac:dyDescent="0.15">
      <c r="A196" s="20">
        <f t="shared" ca="1" si="16"/>
        <v>121971</v>
      </c>
      <c r="B196" s="75">
        <f t="shared" ca="1" si="13"/>
        <v>25.87</v>
      </c>
      <c r="C196" s="75">
        <f t="shared" ca="1" si="14"/>
        <v>36.957142857142863</v>
      </c>
      <c r="D196" s="20">
        <f t="shared" ca="1" si="15"/>
        <v>61381</v>
      </c>
      <c r="E196" s="20" t="s">
        <v>256</v>
      </c>
    </row>
    <row r="197" spans="1:5" x14ac:dyDescent="0.15">
      <c r="A197" s="20">
        <f t="shared" ca="1" si="16"/>
        <v>106080</v>
      </c>
      <c r="B197" s="75">
        <f t="shared" ca="1" si="13"/>
        <v>29.87</v>
      </c>
      <c r="C197" s="75">
        <f t="shared" ca="1" si="14"/>
        <v>42.671428571428578</v>
      </c>
      <c r="D197" s="20">
        <f t="shared" ca="1" si="15"/>
        <v>80836</v>
      </c>
      <c r="E197" s="20" t="s">
        <v>256</v>
      </c>
    </row>
    <row r="198" spans="1:5" x14ac:dyDescent="0.15">
      <c r="A198" s="20">
        <f t="shared" ca="1" si="16"/>
        <v>119930</v>
      </c>
      <c r="B198" s="75">
        <f t="shared" ca="1" si="13"/>
        <v>49.87</v>
      </c>
      <c r="C198" s="75">
        <f t="shared" ca="1" si="14"/>
        <v>71.242857142857147</v>
      </c>
      <c r="D198" s="20">
        <f t="shared" ca="1" si="15"/>
        <v>73554</v>
      </c>
      <c r="E198" s="20" t="s">
        <v>256</v>
      </c>
    </row>
    <row r="199" spans="1:5" x14ac:dyDescent="0.15">
      <c r="A199" s="20">
        <f t="shared" ca="1" si="16"/>
        <v>121752</v>
      </c>
      <c r="B199" s="75">
        <f t="shared" ca="1" si="13"/>
        <v>35.869999999999997</v>
      </c>
      <c r="C199" s="75">
        <f t="shared" ca="1" si="14"/>
        <v>51.24285714285714</v>
      </c>
      <c r="D199" s="20">
        <f t="shared" ca="1" si="15"/>
        <v>32661</v>
      </c>
      <c r="E199" s="20" t="s">
        <v>256</v>
      </c>
    </row>
    <row r="200" spans="1:5" x14ac:dyDescent="0.15">
      <c r="A200" s="20">
        <f t="shared" ca="1" si="16"/>
        <v>116216</v>
      </c>
      <c r="B200" s="75">
        <f t="shared" ca="1" si="13"/>
        <v>29.87</v>
      </c>
      <c r="C200" s="75">
        <f t="shared" ca="1" si="14"/>
        <v>42.671428571428578</v>
      </c>
      <c r="D200" s="20">
        <f t="shared" ca="1" si="15"/>
        <v>79962</v>
      </c>
      <c r="E200" s="20" t="s">
        <v>256</v>
      </c>
    </row>
    <row r="201" spans="1:5" x14ac:dyDescent="0.15">
      <c r="A201" s="20">
        <f t="shared" ca="1" si="16"/>
        <v>138290</v>
      </c>
      <c r="B201" s="75">
        <f t="shared" ca="1" si="13"/>
        <v>40.869999999999997</v>
      </c>
      <c r="C201" s="75">
        <f t="shared" ca="1" si="14"/>
        <v>58.385714285714286</v>
      </c>
      <c r="D201" s="20">
        <f t="shared" ca="1" si="15"/>
        <v>60347</v>
      </c>
      <c r="E201" s="20" t="s">
        <v>256</v>
      </c>
    </row>
    <row r="202" spans="1:5" x14ac:dyDescent="0.15">
      <c r="A202" s="20">
        <f t="shared" ca="1" si="16"/>
        <v>153406</v>
      </c>
      <c r="B202" s="75">
        <f t="shared" ca="1" si="13"/>
        <v>48.87</v>
      </c>
      <c r="C202" s="75">
        <f t="shared" ca="1" si="14"/>
        <v>69.814285714285717</v>
      </c>
      <c r="D202" s="20">
        <f t="shared" ca="1" si="15"/>
        <v>84410</v>
      </c>
      <c r="E202" s="20" t="s">
        <v>256</v>
      </c>
    </row>
    <row r="203" spans="1:5" x14ac:dyDescent="0.15">
      <c r="A203" s="20">
        <f t="shared" ca="1" si="16"/>
        <v>195664</v>
      </c>
      <c r="B203" s="75">
        <f t="shared" ca="1" si="13"/>
        <v>56.87</v>
      </c>
      <c r="C203" s="75">
        <f t="shared" ca="1" si="14"/>
        <v>81.242857142857147</v>
      </c>
      <c r="D203" s="20">
        <f t="shared" ca="1" si="15"/>
        <v>80234</v>
      </c>
      <c r="E203" s="20" t="s">
        <v>256</v>
      </c>
    </row>
    <row r="204" spans="1:5" x14ac:dyDescent="0.15">
      <c r="A204" s="20">
        <f t="shared" ca="1" si="16"/>
        <v>140116</v>
      </c>
      <c r="B204" s="75">
        <f t="shared" ca="1" si="13"/>
        <v>65.87</v>
      </c>
      <c r="C204" s="75">
        <f t="shared" ca="1" si="14"/>
        <v>94.100000000000009</v>
      </c>
      <c r="D204" s="20">
        <f t="shared" ca="1" si="15"/>
        <v>39085</v>
      </c>
      <c r="E204" s="20" t="s">
        <v>256</v>
      </c>
    </row>
    <row r="205" spans="1:5" x14ac:dyDescent="0.15">
      <c r="A205" s="20">
        <f t="shared" ca="1" si="16"/>
        <v>123845</v>
      </c>
      <c r="B205" s="75">
        <f t="shared" ca="1" si="13"/>
        <v>70.87</v>
      </c>
      <c r="C205" s="75">
        <f t="shared" ca="1" si="14"/>
        <v>101.24285714285716</v>
      </c>
      <c r="D205" s="20">
        <f t="shared" ca="1" si="15"/>
        <v>15875</v>
      </c>
      <c r="E205" s="20" t="s">
        <v>256</v>
      </c>
    </row>
    <row r="206" spans="1:5" x14ac:dyDescent="0.15">
      <c r="A206" s="20">
        <f t="shared" ca="1" si="16"/>
        <v>131218</v>
      </c>
      <c r="B206" s="75">
        <f t="shared" ca="1" si="13"/>
        <v>56.87</v>
      </c>
      <c r="C206" s="75">
        <f t="shared" ca="1" si="14"/>
        <v>81.242857142857147</v>
      </c>
      <c r="D206" s="20">
        <f t="shared" ca="1" si="15"/>
        <v>44273</v>
      </c>
      <c r="E206" s="20" t="s">
        <v>256</v>
      </c>
    </row>
    <row r="207" spans="1:5" x14ac:dyDescent="0.15">
      <c r="A207" s="20">
        <f t="shared" ca="1" si="16"/>
        <v>193623</v>
      </c>
      <c r="B207" s="75">
        <f t="shared" ca="1" si="13"/>
        <v>47.87</v>
      </c>
      <c r="C207" s="75">
        <f t="shared" ca="1" si="14"/>
        <v>68.385714285714286</v>
      </c>
      <c r="D207" s="20">
        <f t="shared" ca="1" si="15"/>
        <v>92494</v>
      </c>
      <c r="E207" s="20" t="s">
        <v>256</v>
      </c>
    </row>
    <row r="208" spans="1:5" x14ac:dyDescent="0.15">
      <c r="A208" s="20">
        <f t="shared" ca="1" si="16"/>
        <v>189807</v>
      </c>
      <c r="B208" s="75">
        <f t="shared" ca="1" si="13"/>
        <v>25.87</v>
      </c>
      <c r="C208" s="75">
        <f t="shared" ca="1" si="14"/>
        <v>36.957142857142863</v>
      </c>
      <c r="D208" s="20">
        <f t="shared" ca="1" si="15"/>
        <v>95211</v>
      </c>
      <c r="E208" s="20" t="s">
        <v>256</v>
      </c>
    </row>
    <row r="209" spans="1:5" x14ac:dyDescent="0.15">
      <c r="A209" s="20">
        <f t="shared" ca="1" si="16"/>
        <v>135882</v>
      </c>
      <c r="B209" s="75">
        <f t="shared" ca="1" si="13"/>
        <v>46.87</v>
      </c>
      <c r="C209" s="75">
        <f t="shared" ca="1" si="14"/>
        <v>66.957142857142856</v>
      </c>
      <c r="D209" s="20">
        <f t="shared" ca="1" si="15"/>
        <v>20275</v>
      </c>
      <c r="E209" s="20" t="s">
        <v>256</v>
      </c>
    </row>
    <row r="210" spans="1:5" x14ac:dyDescent="0.15">
      <c r="A210" s="20">
        <f t="shared" ca="1" si="16"/>
        <v>169119</v>
      </c>
      <c r="B210" s="75">
        <f t="shared" ca="1" si="13"/>
        <v>72.87</v>
      </c>
      <c r="C210" s="75">
        <f t="shared" ca="1" si="14"/>
        <v>104.10000000000001</v>
      </c>
      <c r="D210" s="20">
        <f t="shared" ca="1" si="15"/>
        <v>31588</v>
      </c>
      <c r="E210" s="20" t="s">
        <v>256</v>
      </c>
    </row>
    <row r="211" spans="1:5" x14ac:dyDescent="0.15">
      <c r="A211" s="20">
        <f t="shared" ca="1" si="16"/>
        <v>185632</v>
      </c>
      <c r="B211" s="75">
        <f t="shared" ca="1" si="13"/>
        <v>48.87</v>
      </c>
      <c r="C211" s="75">
        <f t="shared" ca="1" si="14"/>
        <v>69.814285714285717</v>
      </c>
      <c r="D211" s="20">
        <f t="shared" ca="1" si="15"/>
        <v>59122</v>
      </c>
      <c r="E211" s="20" t="s">
        <v>256</v>
      </c>
    </row>
    <row r="212" spans="1:5" x14ac:dyDescent="0.15">
      <c r="A212" s="20">
        <f t="shared" ca="1" si="16"/>
        <v>182428</v>
      </c>
      <c r="B212" s="75">
        <f t="shared" ca="1" si="13"/>
        <v>47.87</v>
      </c>
      <c r="C212" s="75">
        <f t="shared" ca="1" si="14"/>
        <v>68.385714285714286</v>
      </c>
      <c r="D212" s="20">
        <f t="shared" ca="1" si="15"/>
        <v>69938</v>
      </c>
      <c r="E212" s="20" t="s">
        <v>256</v>
      </c>
    </row>
    <row r="213" spans="1:5" x14ac:dyDescent="0.15">
      <c r="A213" s="20">
        <f t="shared" ca="1" si="16"/>
        <v>144199</v>
      </c>
      <c r="B213" s="75">
        <f t="shared" ca="1" si="13"/>
        <v>43.87</v>
      </c>
      <c r="C213" s="75">
        <f t="shared" ca="1" si="14"/>
        <v>62.671428571428571</v>
      </c>
      <c r="D213" s="20">
        <f t="shared" ca="1" si="15"/>
        <v>35932</v>
      </c>
      <c r="E213" s="20" t="s">
        <v>256</v>
      </c>
    </row>
    <row r="214" spans="1:5" x14ac:dyDescent="0.15">
      <c r="A214" s="20">
        <f t="shared" ca="1" si="16"/>
        <v>135752</v>
      </c>
      <c r="B214" s="75">
        <f t="shared" ref="B214:B277" ca="1" si="17">RANDBETWEEN(24,75) - 0.13</f>
        <v>52.87</v>
      </c>
      <c r="C214" s="75">
        <f t="shared" ref="C214:C277" ca="1" si="18">B214/0.7</f>
        <v>75.528571428571425</v>
      </c>
      <c r="D214" s="20">
        <f t="shared" ref="D214:D277" ca="1" si="19">RANDBETWEEN(10000,100000)</f>
        <v>22179</v>
      </c>
      <c r="E214" s="20" t="s">
        <v>256</v>
      </c>
    </row>
    <row r="215" spans="1:5" x14ac:dyDescent="0.15">
      <c r="A215" s="20">
        <f t="shared" ca="1" si="16"/>
        <v>146467</v>
      </c>
      <c r="B215" s="75">
        <f t="shared" ca="1" si="17"/>
        <v>70.87</v>
      </c>
      <c r="C215" s="75">
        <f t="shared" ca="1" si="18"/>
        <v>101.24285714285716</v>
      </c>
      <c r="D215" s="20">
        <f t="shared" ca="1" si="19"/>
        <v>28077</v>
      </c>
      <c r="E215" s="20" t="s">
        <v>256</v>
      </c>
    </row>
    <row r="216" spans="1:5" x14ac:dyDescent="0.15">
      <c r="A216" s="20">
        <f t="shared" ca="1" si="16"/>
        <v>159329</v>
      </c>
      <c r="B216" s="75">
        <f t="shared" ca="1" si="17"/>
        <v>59.87</v>
      </c>
      <c r="C216" s="75">
        <f t="shared" ca="1" si="18"/>
        <v>85.528571428571425</v>
      </c>
      <c r="D216" s="20">
        <f t="shared" ca="1" si="19"/>
        <v>36852</v>
      </c>
      <c r="E216" s="20" t="s">
        <v>256</v>
      </c>
    </row>
    <row r="217" spans="1:5" x14ac:dyDescent="0.15">
      <c r="A217" s="20">
        <f t="shared" ca="1" si="16"/>
        <v>123285</v>
      </c>
      <c r="B217" s="75">
        <f t="shared" ca="1" si="17"/>
        <v>38.869999999999997</v>
      </c>
      <c r="C217" s="75">
        <f t="shared" ca="1" si="18"/>
        <v>55.528571428571425</v>
      </c>
      <c r="D217" s="20">
        <f t="shared" ca="1" si="19"/>
        <v>93412</v>
      </c>
      <c r="E217" s="20" t="s">
        <v>256</v>
      </c>
    </row>
    <row r="218" spans="1:5" x14ac:dyDescent="0.15">
      <c r="A218" s="20">
        <f t="shared" ca="1" si="16"/>
        <v>111337</v>
      </c>
      <c r="B218" s="75">
        <f t="shared" ca="1" si="17"/>
        <v>55.87</v>
      </c>
      <c r="C218" s="75">
        <f t="shared" ca="1" si="18"/>
        <v>79.814285714285717</v>
      </c>
      <c r="D218" s="20">
        <f t="shared" ca="1" si="19"/>
        <v>49691</v>
      </c>
      <c r="E218" s="20" t="s">
        <v>256</v>
      </c>
    </row>
    <row r="219" spans="1:5" x14ac:dyDescent="0.15">
      <c r="A219" s="20">
        <f t="shared" ca="1" si="16"/>
        <v>122153</v>
      </c>
      <c r="B219" s="75">
        <f t="shared" ca="1" si="17"/>
        <v>58.87</v>
      </c>
      <c r="C219" s="75">
        <f t="shared" ca="1" si="18"/>
        <v>84.100000000000009</v>
      </c>
      <c r="D219" s="20">
        <f t="shared" ca="1" si="19"/>
        <v>32997</v>
      </c>
      <c r="E219" s="20" t="s">
        <v>256</v>
      </c>
    </row>
    <row r="220" spans="1:5" x14ac:dyDescent="0.15">
      <c r="A220" s="20">
        <f t="shared" ca="1" si="16"/>
        <v>192951</v>
      </c>
      <c r="B220" s="75">
        <f t="shared" ca="1" si="17"/>
        <v>28.87</v>
      </c>
      <c r="C220" s="75">
        <f t="shared" ca="1" si="18"/>
        <v>41.242857142857147</v>
      </c>
      <c r="D220" s="20">
        <f t="shared" ca="1" si="19"/>
        <v>78047</v>
      </c>
      <c r="E220" s="20" t="s">
        <v>256</v>
      </c>
    </row>
    <row r="221" spans="1:5" x14ac:dyDescent="0.15">
      <c r="A221" s="20">
        <f t="shared" ca="1" si="16"/>
        <v>150753</v>
      </c>
      <c r="B221" s="75">
        <f t="shared" ca="1" si="17"/>
        <v>49.87</v>
      </c>
      <c r="C221" s="75">
        <f t="shared" ca="1" si="18"/>
        <v>71.242857142857147</v>
      </c>
      <c r="D221" s="20">
        <f t="shared" ca="1" si="19"/>
        <v>34837</v>
      </c>
      <c r="E221" s="20" t="s">
        <v>256</v>
      </c>
    </row>
    <row r="222" spans="1:5" x14ac:dyDescent="0.15">
      <c r="A222" s="20">
        <f t="shared" ca="1" si="16"/>
        <v>179868</v>
      </c>
      <c r="B222" s="75">
        <f t="shared" ca="1" si="17"/>
        <v>39.869999999999997</v>
      </c>
      <c r="C222" s="75">
        <f t="shared" ca="1" si="18"/>
        <v>56.957142857142856</v>
      </c>
      <c r="D222" s="20">
        <f t="shared" ca="1" si="19"/>
        <v>10253</v>
      </c>
      <c r="E222" s="20" t="s">
        <v>256</v>
      </c>
    </row>
    <row r="223" spans="1:5" x14ac:dyDescent="0.15">
      <c r="A223" s="20">
        <f t="shared" ca="1" si="16"/>
        <v>109617</v>
      </c>
      <c r="B223" s="75">
        <f t="shared" ca="1" si="17"/>
        <v>44.87</v>
      </c>
      <c r="C223" s="75">
        <f t="shared" ca="1" si="18"/>
        <v>64.099999999999994</v>
      </c>
      <c r="D223" s="20">
        <f t="shared" ca="1" si="19"/>
        <v>46163</v>
      </c>
      <c r="E223" s="20" t="s">
        <v>256</v>
      </c>
    </row>
    <row r="224" spans="1:5" x14ac:dyDescent="0.15">
      <c r="A224" s="20">
        <f t="shared" ca="1" si="16"/>
        <v>160710</v>
      </c>
      <c r="B224" s="75">
        <f t="shared" ca="1" si="17"/>
        <v>61.87</v>
      </c>
      <c r="C224" s="75">
        <f t="shared" ca="1" si="18"/>
        <v>88.385714285714286</v>
      </c>
      <c r="D224" s="20">
        <f t="shared" ca="1" si="19"/>
        <v>48823</v>
      </c>
      <c r="E224" s="20" t="s">
        <v>256</v>
      </c>
    </row>
    <row r="225" spans="1:5" x14ac:dyDescent="0.15">
      <c r="A225" s="20">
        <f t="shared" ca="1" si="16"/>
        <v>116599</v>
      </c>
      <c r="B225" s="75">
        <f t="shared" ca="1" si="17"/>
        <v>55.87</v>
      </c>
      <c r="C225" s="75">
        <f t="shared" ca="1" si="18"/>
        <v>79.814285714285717</v>
      </c>
      <c r="D225" s="20">
        <f t="shared" ca="1" si="19"/>
        <v>87495</v>
      </c>
      <c r="E225" s="20" t="s">
        <v>256</v>
      </c>
    </row>
    <row r="226" spans="1:5" x14ac:dyDescent="0.15">
      <c r="A226" s="20">
        <f t="shared" ca="1" si="16"/>
        <v>165259</v>
      </c>
      <c r="B226" s="75">
        <f t="shared" ca="1" si="17"/>
        <v>36.869999999999997</v>
      </c>
      <c r="C226" s="75">
        <f t="shared" ca="1" si="18"/>
        <v>52.671428571428571</v>
      </c>
      <c r="D226" s="20">
        <f t="shared" ca="1" si="19"/>
        <v>99444</v>
      </c>
      <c r="E226" s="20" t="s">
        <v>256</v>
      </c>
    </row>
    <row r="227" spans="1:5" x14ac:dyDescent="0.15">
      <c r="A227" s="20">
        <f t="shared" ca="1" si="16"/>
        <v>122302</v>
      </c>
      <c r="B227" s="75">
        <f t="shared" ca="1" si="17"/>
        <v>67.87</v>
      </c>
      <c r="C227" s="75">
        <f t="shared" ca="1" si="18"/>
        <v>96.95714285714287</v>
      </c>
      <c r="D227" s="20">
        <f t="shared" ca="1" si="19"/>
        <v>87790</v>
      </c>
      <c r="E227" s="20" t="s">
        <v>256</v>
      </c>
    </row>
    <row r="228" spans="1:5" x14ac:dyDescent="0.15">
      <c r="A228" s="20">
        <f t="shared" ca="1" si="16"/>
        <v>199930</v>
      </c>
      <c r="B228" s="75">
        <f t="shared" ca="1" si="17"/>
        <v>40.869999999999997</v>
      </c>
      <c r="C228" s="75">
        <f t="shared" ca="1" si="18"/>
        <v>58.385714285714286</v>
      </c>
      <c r="D228" s="20">
        <f t="shared" ca="1" si="19"/>
        <v>85325</v>
      </c>
      <c r="E228" s="20" t="s">
        <v>256</v>
      </c>
    </row>
    <row r="229" spans="1:5" x14ac:dyDescent="0.15">
      <c r="A229" s="20">
        <f t="shared" ca="1" si="16"/>
        <v>160503</v>
      </c>
      <c r="B229" s="75">
        <f t="shared" ca="1" si="17"/>
        <v>69.87</v>
      </c>
      <c r="C229" s="75">
        <f t="shared" ca="1" si="18"/>
        <v>99.814285714285731</v>
      </c>
      <c r="D229" s="20">
        <f t="shared" ca="1" si="19"/>
        <v>90607</v>
      </c>
      <c r="E229" s="20" t="s">
        <v>256</v>
      </c>
    </row>
    <row r="230" spans="1:5" x14ac:dyDescent="0.15">
      <c r="A230" s="20">
        <f t="shared" ca="1" si="16"/>
        <v>168902</v>
      </c>
      <c r="B230" s="75">
        <f t="shared" ca="1" si="17"/>
        <v>54.87</v>
      </c>
      <c r="C230" s="75">
        <f t="shared" ca="1" si="18"/>
        <v>78.385714285714286</v>
      </c>
      <c r="D230" s="20">
        <f t="shared" ca="1" si="19"/>
        <v>93208</v>
      </c>
      <c r="E230" s="20" t="s">
        <v>256</v>
      </c>
    </row>
    <row r="231" spans="1:5" x14ac:dyDescent="0.15">
      <c r="A231" s="20">
        <f t="shared" ca="1" si="16"/>
        <v>168670</v>
      </c>
      <c r="B231" s="75">
        <f t="shared" ca="1" si="17"/>
        <v>43.87</v>
      </c>
      <c r="C231" s="75">
        <f t="shared" ca="1" si="18"/>
        <v>62.671428571428571</v>
      </c>
      <c r="D231" s="20">
        <f t="shared" ca="1" si="19"/>
        <v>34070</v>
      </c>
      <c r="E231" s="20" t="s">
        <v>256</v>
      </c>
    </row>
    <row r="232" spans="1:5" x14ac:dyDescent="0.15">
      <c r="A232" s="20">
        <f t="shared" ca="1" si="16"/>
        <v>140534</v>
      </c>
      <c r="B232" s="75">
        <f t="shared" ca="1" si="17"/>
        <v>52.87</v>
      </c>
      <c r="C232" s="75">
        <f t="shared" ca="1" si="18"/>
        <v>75.528571428571425</v>
      </c>
      <c r="D232" s="20">
        <f t="shared" ca="1" si="19"/>
        <v>49196</v>
      </c>
      <c r="E232" s="20" t="s">
        <v>256</v>
      </c>
    </row>
    <row r="233" spans="1:5" x14ac:dyDescent="0.15">
      <c r="A233" s="20">
        <f t="shared" ca="1" si="16"/>
        <v>166339</v>
      </c>
      <c r="B233" s="75">
        <f t="shared" ca="1" si="17"/>
        <v>23.87</v>
      </c>
      <c r="C233" s="75">
        <f t="shared" ca="1" si="18"/>
        <v>34.1</v>
      </c>
      <c r="D233" s="20">
        <f t="shared" ca="1" si="19"/>
        <v>83098</v>
      </c>
      <c r="E233" s="20" t="s">
        <v>256</v>
      </c>
    </row>
    <row r="234" spans="1:5" x14ac:dyDescent="0.15">
      <c r="A234" s="20">
        <f t="shared" ca="1" si="16"/>
        <v>166705</v>
      </c>
      <c r="B234" s="75">
        <f t="shared" ca="1" si="17"/>
        <v>69.87</v>
      </c>
      <c r="C234" s="75">
        <f t="shared" ca="1" si="18"/>
        <v>99.814285714285731</v>
      </c>
      <c r="D234" s="20">
        <f t="shared" ca="1" si="19"/>
        <v>35578</v>
      </c>
      <c r="E234" s="20" t="s">
        <v>256</v>
      </c>
    </row>
    <row r="235" spans="1:5" x14ac:dyDescent="0.15">
      <c r="A235" s="20">
        <f t="shared" ca="1" si="16"/>
        <v>170316</v>
      </c>
      <c r="B235" s="75">
        <f t="shared" ca="1" si="17"/>
        <v>36.869999999999997</v>
      </c>
      <c r="C235" s="75">
        <f t="shared" ca="1" si="18"/>
        <v>52.671428571428571</v>
      </c>
      <c r="D235" s="20">
        <f t="shared" ca="1" si="19"/>
        <v>96298</v>
      </c>
      <c r="E235" s="20" t="s">
        <v>256</v>
      </c>
    </row>
    <row r="236" spans="1:5" x14ac:dyDescent="0.15">
      <c r="A236" s="20">
        <f t="shared" ca="1" si="16"/>
        <v>185378</v>
      </c>
      <c r="B236" s="75">
        <f t="shared" ca="1" si="17"/>
        <v>41.87</v>
      </c>
      <c r="C236" s="75">
        <f t="shared" ca="1" si="18"/>
        <v>59.814285714285717</v>
      </c>
      <c r="D236" s="20">
        <f t="shared" ca="1" si="19"/>
        <v>49463</v>
      </c>
      <c r="E236" s="20" t="s">
        <v>256</v>
      </c>
    </row>
    <row r="237" spans="1:5" x14ac:dyDescent="0.15">
      <c r="A237" s="20">
        <f t="shared" ca="1" si="16"/>
        <v>176497</v>
      </c>
      <c r="B237" s="75">
        <f t="shared" ca="1" si="17"/>
        <v>74.87</v>
      </c>
      <c r="C237" s="75">
        <f t="shared" ca="1" si="18"/>
        <v>106.95714285714287</v>
      </c>
      <c r="D237" s="20">
        <f t="shared" ca="1" si="19"/>
        <v>26490</v>
      </c>
      <c r="E237" s="20" t="s">
        <v>256</v>
      </c>
    </row>
    <row r="238" spans="1:5" x14ac:dyDescent="0.15">
      <c r="A238" s="20">
        <f t="shared" ca="1" si="16"/>
        <v>141284</v>
      </c>
      <c r="B238" s="75">
        <f t="shared" ca="1" si="17"/>
        <v>25.87</v>
      </c>
      <c r="C238" s="75">
        <f t="shared" ca="1" si="18"/>
        <v>36.957142857142863</v>
      </c>
      <c r="D238" s="20">
        <f t="shared" ca="1" si="19"/>
        <v>96191</v>
      </c>
      <c r="E238" s="20" t="s">
        <v>256</v>
      </c>
    </row>
    <row r="239" spans="1:5" x14ac:dyDescent="0.15">
      <c r="A239" s="20">
        <f t="shared" ca="1" si="16"/>
        <v>159398</v>
      </c>
      <c r="B239" s="75">
        <f t="shared" ca="1" si="17"/>
        <v>36.869999999999997</v>
      </c>
      <c r="C239" s="75">
        <f t="shared" ca="1" si="18"/>
        <v>52.671428571428571</v>
      </c>
      <c r="D239" s="20">
        <f t="shared" ca="1" si="19"/>
        <v>80413</v>
      </c>
      <c r="E239" s="20" t="s">
        <v>256</v>
      </c>
    </row>
    <row r="240" spans="1:5" x14ac:dyDescent="0.15">
      <c r="A240" s="20">
        <f t="shared" ca="1" si="16"/>
        <v>122063</v>
      </c>
      <c r="B240" s="75">
        <f t="shared" ca="1" si="17"/>
        <v>24.87</v>
      </c>
      <c r="C240" s="75">
        <f t="shared" ca="1" si="18"/>
        <v>35.528571428571432</v>
      </c>
      <c r="D240" s="20">
        <f t="shared" ca="1" si="19"/>
        <v>38057</v>
      </c>
      <c r="E240" s="20" t="s">
        <v>256</v>
      </c>
    </row>
    <row r="241" spans="1:5" x14ac:dyDescent="0.15">
      <c r="A241" s="20">
        <f t="shared" ca="1" si="16"/>
        <v>135061</v>
      </c>
      <c r="B241" s="75">
        <f t="shared" ca="1" si="17"/>
        <v>61.87</v>
      </c>
      <c r="C241" s="75">
        <f t="shared" ca="1" si="18"/>
        <v>88.385714285714286</v>
      </c>
      <c r="D241" s="20">
        <f t="shared" ca="1" si="19"/>
        <v>39472</v>
      </c>
      <c r="E241" s="20" t="s">
        <v>256</v>
      </c>
    </row>
    <row r="242" spans="1:5" x14ac:dyDescent="0.15">
      <c r="A242" s="20">
        <f t="shared" ca="1" si="16"/>
        <v>163388</v>
      </c>
      <c r="B242" s="75">
        <f t="shared" ca="1" si="17"/>
        <v>49.87</v>
      </c>
      <c r="C242" s="75">
        <f t="shared" ca="1" si="18"/>
        <v>71.242857142857147</v>
      </c>
      <c r="D242" s="20">
        <f t="shared" ca="1" si="19"/>
        <v>58610</v>
      </c>
      <c r="E242" s="20" t="s">
        <v>256</v>
      </c>
    </row>
    <row r="243" spans="1:5" x14ac:dyDescent="0.15">
      <c r="A243" s="20">
        <f t="shared" ca="1" si="16"/>
        <v>176887</v>
      </c>
      <c r="B243" s="75">
        <f t="shared" ca="1" si="17"/>
        <v>42.87</v>
      </c>
      <c r="C243" s="75">
        <f t="shared" ca="1" si="18"/>
        <v>61.24285714285714</v>
      </c>
      <c r="D243" s="20">
        <f t="shared" ca="1" si="19"/>
        <v>97284</v>
      </c>
      <c r="E243" s="20" t="s">
        <v>256</v>
      </c>
    </row>
    <row r="244" spans="1:5" x14ac:dyDescent="0.15">
      <c r="A244" s="20">
        <f t="shared" ca="1" si="16"/>
        <v>197739</v>
      </c>
      <c r="B244" s="75">
        <f t="shared" ca="1" si="17"/>
        <v>64.87</v>
      </c>
      <c r="C244" s="75">
        <f t="shared" ca="1" si="18"/>
        <v>92.671428571428578</v>
      </c>
      <c r="D244" s="20">
        <f t="shared" ca="1" si="19"/>
        <v>40329</v>
      </c>
      <c r="E244" s="20" t="s">
        <v>256</v>
      </c>
    </row>
    <row r="245" spans="1:5" x14ac:dyDescent="0.15">
      <c r="A245" s="20">
        <f t="shared" ca="1" si="16"/>
        <v>111485</v>
      </c>
      <c r="B245" s="75">
        <f t="shared" ca="1" si="17"/>
        <v>70.87</v>
      </c>
      <c r="C245" s="75">
        <f t="shared" ca="1" si="18"/>
        <v>101.24285714285716</v>
      </c>
      <c r="D245" s="20">
        <f t="shared" ca="1" si="19"/>
        <v>80017</v>
      </c>
      <c r="E245" s="20" t="s">
        <v>256</v>
      </c>
    </row>
    <row r="246" spans="1:5" x14ac:dyDescent="0.15">
      <c r="A246" s="20">
        <f t="shared" ca="1" si="16"/>
        <v>129727</v>
      </c>
      <c r="B246" s="75">
        <f t="shared" ca="1" si="17"/>
        <v>29.87</v>
      </c>
      <c r="C246" s="75">
        <f t="shared" ca="1" si="18"/>
        <v>42.671428571428578</v>
      </c>
      <c r="D246" s="20">
        <f t="shared" ca="1" si="19"/>
        <v>18655</v>
      </c>
      <c r="E246" s="20" t="s">
        <v>256</v>
      </c>
    </row>
    <row r="247" spans="1:5" x14ac:dyDescent="0.15">
      <c r="A247" s="20">
        <f t="shared" ca="1" si="16"/>
        <v>175031</v>
      </c>
      <c r="B247" s="75">
        <f t="shared" ca="1" si="17"/>
        <v>39.869999999999997</v>
      </c>
      <c r="C247" s="75">
        <f t="shared" ca="1" si="18"/>
        <v>56.957142857142856</v>
      </c>
      <c r="D247" s="20">
        <f t="shared" ca="1" si="19"/>
        <v>18613</v>
      </c>
      <c r="E247" s="20" t="s">
        <v>256</v>
      </c>
    </row>
    <row r="248" spans="1:5" x14ac:dyDescent="0.15">
      <c r="A248" s="20">
        <f t="shared" ca="1" si="16"/>
        <v>123572</v>
      </c>
      <c r="B248" s="75">
        <f t="shared" ca="1" si="17"/>
        <v>65.87</v>
      </c>
      <c r="C248" s="75">
        <f t="shared" ca="1" si="18"/>
        <v>94.100000000000009</v>
      </c>
      <c r="D248" s="20">
        <f t="shared" ca="1" si="19"/>
        <v>77660</v>
      </c>
      <c r="E248" s="20" t="s">
        <v>256</v>
      </c>
    </row>
    <row r="249" spans="1:5" x14ac:dyDescent="0.15">
      <c r="A249" s="20">
        <f t="shared" ca="1" si="16"/>
        <v>119114</v>
      </c>
      <c r="B249" s="75">
        <f t="shared" ca="1" si="17"/>
        <v>72.87</v>
      </c>
      <c r="C249" s="75">
        <f t="shared" ca="1" si="18"/>
        <v>104.10000000000001</v>
      </c>
      <c r="D249" s="20">
        <f t="shared" ca="1" si="19"/>
        <v>56642</v>
      </c>
      <c r="E249" s="20" t="s">
        <v>256</v>
      </c>
    </row>
    <row r="250" spans="1:5" x14ac:dyDescent="0.15">
      <c r="A250" s="20">
        <f t="shared" ca="1" si="16"/>
        <v>152874</v>
      </c>
      <c r="B250" s="75">
        <f t="shared" ca="1" si="17"/>
        <v>24.87</v>
      </c>
      <c r="C250" s="75">
        <f t="shared" ca="1" si="18"/>
        <v>35.528571428571432</v>
      </c>
      <c r="D250" s="20">
        <f t="shared" ca="1" si="19"/>
        <v>60505</v>
      </c>
      <c r="E250" s="20" t="s">
        <v>256</v>
      </c>
    </row>
    <row r="251" spans="1:5" x14ac:dyDescent="0.15">
      <c r="A251" s="20">
        <f t="shared" ca="1" si="16"/>
        <v>107371</v>
      </c>
      <c r="B251" s="75">
        <f t="shared" ca="1" si="17"/>
        <v>69.87</v>
      </c>
      <c r="C251" s="75">
        <f t="shared" ca="1" si="18"/>
        <v>99.814285714285731</v>
      </c>
      <c r="D251" s="20">
        <f t="shared" ca="1" si="19"/>
        <v>70092</v>
      </c>
      <c r="E251" s="20" t="s">
        <v>256</v>
      </c>
    </row>
    <row r="252" spans="1:5" x14ac:dyDescent="0.15">
      <c r="A252" s="20">
        <f t="shared" ca="1" si="16"/>
        <v>177824</v>
      </c>
      <c r="B252" s="75">
        <f t="shared" ca="1" si="17"/>
        <v>51.87</v>
      </c>
      <c r="C252" s="75">
        <f t="shared" ca="1" si="18"/>
        <v>74.099999999999994</v>
      </c>
      <c r="D252" s="20">
        <f t="shared" ca="1" si="19"/>
        <v>54957</v>
      </c>
      <c r="E252" s="20" t="s">
        <v>256</v>
      </c>
    </row>
    <row r="253" spans="1:5" x14ac:dyDescent="0.15">
      <c r="A253" s="20">
        <f t="shared" ca="1" si="16"/>
        <v>111898</v>
      </c>
      <c r="B253" s="75">
        <f t="shared" ca="1" si="17"/>
        <v>74.87</v>
      </c>
      <c r="C253" s="75">
        <f t="shared" ca="1" si="18"/>
        <v>106.95714285714287</v>
      </c>
      <c r="D253" s="20">
        <f t="shared" ca="1" si="19"/>
        <v>16726</v>
      </c>
      <c r="E253" s="20" t="s">
        <v>256</v>
      </c>
    </row>
    <row r="254" spans="1:5" x14ac:dyDescent="0.15">
      <c r="A254" s="20">
        <f t="shared" ca="1" si="16"/>
        <v>155062</v>
      </c>
      <c r="B254" s="75">
        <f t="shared" ca="1" si="17"/>
        <v>37.869999999999997</v>
      </c>
      <c r="C254" s="75">
        <f t="shared" ca="1" si="18"/>
        <v>54.1</v>
      </c>
      <c r="D254" s="20">
        <f t="shared" ca="1" si="19"/>
        <v>69016</v>
      </c>
      <c r="E254" s="20" t="s">
        <v>256</v>
      </c>
    </row>
    <row r="255" spans="1:5" x14ac:dyDescent="0.15">
      <c r="A255" s="20">
        <f t="shared" ca="1" si="16"/>
        <v>141561</v>
      </c>
      <c r="B255" s="75">
        <f t="shared" ca="1" si="17"/>
        <v>51.87</v>
      </c>
      <c r="C255" s="75">
        <f t="shared" ca="1" si="18"/>
        <v>74.099999999999994</v>
      </c>
      <c r="D255" s="20">
        <f t="shared" ca="1" si="19"/>
        <v>80584</v>
      </c>
      <c r="E255" s="20" t="s">
        <v>256</v>
      </c>
    </row>
    <row r="256" spans="1:5" x14ac:dyDescent="0.15">
      <c r="A256" s="20">
        <f t="shared" ca="1" si="16"/>
        <v>189227</v>
      </c>
      <c r="B256" s="75">
        <f t="shared" ca="1" si="17"/>
        <v>69.87</v>
      </c>
      <c r="C256" s="75">
        <f t="shared" ca="1" si="18"/>
        <v>99.814285714285731</v>
      </c>
      <c r="D256" s="20">
        <f t="shared" ca="1" si="19"/>
        <v>95143</v>
      </c>
      <c r="E256" s="20" t="s">
        <v>256</v>
      </c>
    </row>
    <row r="257" spans="1:5" x14ac:dyDescent="0.15">
      <c r="A257" s="20">
        <f t="shared" ca="1" si="16"/>
        <v>179505</v>
      </c>
      <c r="B257" s="75">
        <f t="shared" ca="1" si="17"/>
        <v>32.869999999999997</v>
      </c>
      <c r="C257" s="75">
        <f t="shared" ca="1" si="18"/>
        <v>46.957142857142856</v>
      </c>
      <c r="D257" s="20">
        <f t="shared" ca="1" si="19"/>
        <v>77744</v>
      </c>
      <c r="E257" s="20" t="s">
        <v>256</v>
      </c>
    </row>
    <row r="258" spans="1:5" x14ac:dyDescent="0.15">
      <c r="A258" s="20">
        <f t="shared" ca="1" si="16"/>
        <v>159083</v>
      </c>
      <c r="B258" s="75">
        <f t="shared" ca="1" si="17"/>
        <v>48.87</v>
      </c>
      <c r="C258" s="75">
        <f t="shared" ca="1" si="18"/>
        <v>69.814285714285717</v>
      </c>
      <c r="D258" s="20">
        <f t="shared" ca="1" si="19"/>
        <v>95169</v>
      </c>
      <c r="E258" s="20" t="s">
        <v>256</v>
      </c>
    </row>
    <row r="259" spans="1:5" x14ac:dyDescent="0.15">
      <c r="A259" s="20">
        <f t="shared" ref="A259:A318" ca="1" si="20">RANDBETWEEN(100000,199999)</f>
        <v>150897</v>
      </c>
      <c r="B259" s="75">
        <f t="shared" ca="1" si="17"/>
        <v>58.87</v>
      </c>
      <c r="C259" s="75">
        <f t="shared" ca="1" si="18"/>
        <v>84.100000000000009</v>
      </c>
      <c r="D259" s="20">
        <f t="shared" ca="1" si="19"/>
        <v>17819</v>
      </c>
      <c r="E259" s="20" t="s">
        <v>256</v>
      </c>
    </row>
    <row r="260" spans="1:5" x14ac:dyDescent="0.15">
      <c r="A260" s="20">
        <f t="shared" ca="1" si="20"/>
        <v>106742</v>
      </c>
      <c r="B260" s="75">
        <f t="shared" ca="1" si="17"/>
        <v>47.87</v>
      </c>
      <c r="C260" s="75">
        <f t="shared" ca="1" si="18"/>
        <v>68.385714285714286</v>
      </c>
      <c r="D260" s="20">
        <f t="shared" ca="1" si="19"/>
        <v>37476</v>
      </c>
      <c r="E260" s="20" t="s">
        <v>256</v>
      </c>
    </row>
    <row r="261" spans="1:5" x14ac:dyDescent="0.15">
      <c r="A261" s="20">
        <f t="shared" ca="1" si="20"/>
        <v>100247</v>
      </c>
      <c r="B261" s="75">
        <f t="shared" ca="1" si="17"/>
        <v>68.87</v>
      </c>
      <c r="C261" s="75">
        <f t="shared" ca="1" si="18"/>
        <v>98.3857142857143</v>
      </c>
      <c r="D261" s="20">
        <f t="shared" ca="1" si="19"/>
        <v>29653</v>
      </c>
      <c r="E261" s="20" t="s">
        <v>256</v>
      </c>
    </row>
    <row r="262" spans="1:5" x14ac:dyDescent="0.15">
      <c r="A262" s="20">
        <f t="shared" ca="1" si="20"/>
        <v>161274</v>
      </c>
      <c r="B262" s="75">
        <f t="shared" ca="1" si="17"/>
        <v>29.87</v>
      </c>
      <c r="C262" s="75">
        <f t="shared" ca="1" si="18"/>
        <v>42.671428571428578</v>
      </c>
      <c r="D262" s="20">
        <f t="shared" ca="1" si="19"/>
        <v>73872</v>
      </c>
      <c r="E262" s="20" t="s">
        <v>256</v>
      </c>
    </row>
    <row r="263" spans="1:5" x14ac:dyDescent="0.15">
      <c r="A263" s="20">
        <f t="shared" ca="1" si="20"/>
        <v>116767</v>
      </c>
      <c r="B263" s="75">
        <f t="shared" ca="1" si="17"/>
        <v>30.87</v>
      </c>
      <c r="C263" s="75">
        <f t="shared" ca="1" si="18"/>
        <v>44.1</v>
      </c>
      <c r="D263" s="20">
        <f t="shared" ca="1" si="19"/>
        <v>70878</v>
      </c>
      <c r="E263" s="20" t="s">
        <v>256</v>
      </c>
    </row>
    <row r="264" spans="1:5" x14ac:dyDescent="0.15">
      <c r="A264" s="20">
        <f t="shared" ca="1" si="20"/>
        <v>113421</v>
      </c>
      <c r="B264" s="75">
        <f t="shared" ca="1" si="17"/>
        <v>24.87</v>
      </c>
      <c r="C264" s="75">
        <f t="shared" ca="1" si="18"/>
        <v>35.528571428571432</v>
      </c>
      <c r="D264" s="20">
        <f t="shared" ca="1" si="19"/>
        <v>30712</v>
      </c>
      <c r="E264" s="20" t="s">
        <v>256</v>
      </c>
    </row>
    <row r="265" spans="1:5" x14ac:dyDescent="0.15">
      <c r="A265" s="20">
        <f t="shared" ca="1" si="20"/>
        <v>102967</v>
      </c>
      <c r="B265" s="75">
        <f t="shared" ca="1" si="17"/>
        <v>49.87</v>
      </c>
      <c r="C265" s="75">
        <f t="shared" ca="1" si="18"/>
        <v>71.242857142857147</v>
      </c>
      <c r="D265" s="20">
        <f t="shared" ca="1" si="19"/>
        <v>82601</v>
      </c>
      <c r="E265" s="20" t="s">
        <v>256</v>
      </c>
    </row>
    <row r="266" spans="1:5" x14ac:dyDescent="0.15">
      <c r="A266" s="20">
        <f t="shared" ca="1" si="20"/>
        <v>112978</v>
      </c>
      <c r="B266" s="75">
        <f t="shared" ca="1" si="17"/>
        <v>49.87</v>
      </c>
      <c r="C266" s="75">
        <f t="shared" ca="1" si="18"/>
        <v>71.242857142857147</v>
      </c>
      <c r="D266" s="20">
        <f t="shared" ca="1" si="19"/>
        <v>30158</v>
      </c>
      <c r="E266" s="20" t="s">
        <v>256</v>
      </c>
    </row>
    <row r="267" spans="1:5" x14ac:dyDescent="0.15">
      <c r="A267" s="20">
        <f t="shared" ca="1" si="20"/>
        <v>170248</v>
      </c>
      <c r="B267" s="75">
        <f t="shared" ca="1" si="17"/>
        <v>70.87</v>
      </c>
      <c r="C267" s="75">
        <f t="shared" ca="1" si="18"/>
        <v>101.24285714285716</v>
      </c>
      <c r="D267" s="20">
        <f t="shared" ca="1" si="19"/>
        <v>84680</v>
      </c>
      <c r="E267" s="20" t="s">
        <v>256</v>
      </c>
    </row>
    <row r="268" spans="1:5" x14ac:dyDescent="0.15">
      <c r="A268" s="20">
        <f t="shared" ca="1" si="20"/>
        <v>167982</v>
      </c>
      <c r="B268" s="75">
        <f t="shared" ca="1" si="17"/>
        <v>53.87</v>
      </c>
      <c r="C268" s="75">
        <f t="shared" ca="1" si="18"/>
        <v>76.957142857142856</v>
      </c>
      <c r="D268" s="20">
        <f t="shared" ca="1" si="19"/>
        <v>89915</v>
      </c>
      <c r="E268" s="20" t="s">
        <v>256</v>
      </c>
    </row>
    <row r="269" spans="1:5" x14ac:dyDescent="0.15">
      <c r="A269" s="20">
        <f t="shared" ca="1" si="20"/>
        <v>125831</v>
      </c>
      <c r="B269" s="75">
        <f t="shared" ca="1" si="17"/>
        <v>43.87</v>
      </c>
      <c r="C269" s="75">
        <f t="shared" ca="1" si="18"/>
        <v>62.671428571428571</v>
      </c>
      <c r="D269" s="20">
        <f t="shared" ca="1" si="19"/>
        <v>10165</v>
      </c>
      <c r="E269" s="20" t="s">
        <v>256</v>
      </c>
    </row>
    <row r="270" spans="1:5" x14ac:dyDescent="0.15">
      <c r="A270" s="20">
        <f t="shared" ca="1" si="20"/>
        <v>190084</v>
      </c>
      <c r="B270" s="75">
        <f t="shared" ca="1" si="17"/>
        <v>37.869999999999997</v>
      </c>
      <c r="C270" s="75">
        <f t="shared" ca="1" si="18"/>
        <v>54.1</v>
      </c>
      <c r="D270" s="20">
        <f t="shared" ca="1" si="19"/>
        <v>23370</v>
      </c>
      <c r="E270" s="20" t="s">
        <v>256</v>
      </c>
    </row>
    <row r="271" spans="1:5" x14ac:dyDescent="0.15">
      <c r="A271" s="20">
        <f t="shared" ca="1" si="20"/>
        <v>101171</v>
      </c>
      <c r="B271" s="75">
        <f t="shared" ca="1" si="17"/>
        <v>66.87</v>
      </c>
      <c r="C271" s="75">
        <f t="shared" ca="1" si="18"/>
        <v>95.528571428571439</v>
      </c>
      <c r="D271" s="20">
        <f t="shared" ca="1" si="19"/>
        <v>94408</v>
      </c>
      <c r="E271" s="20" t="s">
        <v>256</v>
      </c>
    </row>
    <row r="272" spans="1:5" x14ac:dyDescent="0.15">
      <c r="A272" s="20">
        <f t="shared" ca="1" si="20"/>
        <v>135571</v>
      </c>
      <c r="B272" s="75">
        <f t="shared" ca="1" si="17"/>
        <v>69.87</v>
      </c>
      <c r="C272" s="75">
        <f t="shared" ca="1" si="18"/>
        <v>99.814285714285731</v>
      </c>
      <c r="D272" s="20">
        <f t="shared" ca="1" si="19"/>
        <v>29935</v>
      </c>
      <c r="E272" s="20" t="s">
        <v>256</v>
      </c>
    </row>
    <row r="273" spans="1:5" x14ac:dyDescent="0.15">
      <c r="A273" s="20">
        <f t="shared" ca="1" si="20"/>
        <v>154698</v>
      </c>
      <c r="B273" s="75">
        <f t="shared" ca="1" si="17"/>
        <v>69.87</v>
      </c>
      <c r="C273" s="75">
        <f t="shared" ca="1" si="18"/>
        <v>99.814285714285731</v>
      </c>
      <c r="D273" s="20">
        <f t="shared" ca="1" si="19"/>
        <v>22462</v>
      </c>
      <c r="E273" s="20" t="s">
        <v>256</v>
      </c>
    </row>
    <row r="274" spans="1:5" x14ac:dyDescent="0.15">
      <c r="A274" s="20">
        <f t="shared" ca="1" si="20"/>
        <v>103988</v>
      </c>
      <c r="B274" s="75">
        <f t="shared" ca="1" si="17"/>
        <v>50.87</v>
      </c>
      <c r="C274" s="75">
        <f t="shared" ca="1" si="18"/>
        <v>72.671428571428578</v>
      </c>
      <c r="D274" s="20">
        <f t="shared" ca="1" si="19"/>
        <v>47482</v>
      </c>
      <c r="E274" s="20" t="s">
        <v>256</v>
      </c>
    </row>
    <row r="275" spans="1:5" x14ac:dyDescent="0.15">
      <c r="A275" s="20">
        <f t="shared" ca="1" si="20"/>
        <v>136731</v>
      </c>
      <c r="B275" s="75">
        <f t="shared" ca="1" si="17"/>
        <v>71.87</v>
      </c>
      <c r="C275" s="75">
        <f t="shared" ca="1" si="18"/>
        <v>102.67142857142858</v>
      </c>
      <c r="D275" s="20">
        <f t="shared" ca="1" si="19"/>
        <v>63994</v>
      </c>
      <c r="E275" s="20" t="s">
        <v>256</v>
      </c>
    </row>
    <row r="276" spans="1:5" x14ac:dyDescent="0.15">
      <c r="A276" s="20">
        <f t="shared" ca="1" si="20"/>
        <v>107838</v>
      </c>
      <c r="B276" s="75">
        <f t="shared" ca="1" si="17"/>
        <v>74.87</v>
      </c>
      <c r="C276" s="75">
        <f t="shared" ca="1" si="18"/>
        <v>106.95714285714287</v>
      </c>
      <c r="D276" s="20">
        <f t="shared" ca="1" si="19"/>
        <v>27175</v>
      </c>
      <c r="E276" s="20" t="s">
        <v>256</v>
      </c>
    </row>
    <row r="277" spans="1:5" x14ac:dyDescent="0.15">
      <c r="A277" s="20">
        <f t="shared" ca="1" si="20"/>
        <v>191427</v>
      </c>
      <c r="B277" s="75">
        <f t="shared" ca="1" si="17"/>
        <v>54.87</v>
      </c>
      <c r="C277" s="75">
        <f t="shared" ca="1" si="18"/>
        <v>78.385714285714286</v>
      </c>
      <c r="D277" s="20">
        <f t="shared" ca="1" si="19"/>
        <v>59300</v>
      </c>
      <c r="E277" s="20" t="s">
        <v>256</v>
      </c>
    </row>
    <row r="278" spans="1:5" x14ac:dyDescent="0.15">
      <c r="A278" s="20">
        <f t="shared" ca="1" si="20"/>
        <v>115825</v>
      </c>
      <c r="B278" s="75">
        <f t="shared" ref="B278:B318" ca="1" si="21">RANDBETWEEN(24,75) - 0.13</f>
        <v>44.87</v>
      </c>
      <c r="C278" s="75">
        <f t="shared" ref="C278:C318" ca="1" si="22">B278/0.7</f>
        <v>64.099999999999994</v>
      </c>
      <c r="D278" s="20">
        <f t="shared" ref="D278:D318" ca="1" si="23">RANDBETWEEN(10000,100000)</f>
        <v>41862</v>
      </c>
      <c r="E278" s="20" t="s">
        <v>256</v>
      </c>
    </row>
    <row r="279" spans="1:5" x14ac:dyDescent="0.15">
      <c r="A279" s="20">
        <f t="shared" ca="1" si="20"/>
        <v>195434</v>
      </c>
      <c r="B279" s="75">
        <f t="shared" ca="1" si="21"/>
        <v>61.87</v>
      </c>
      <c r="C279" s="75">
        <f t="shared" ca="1" si="22"/>
        <v>88.385714285714286</v>
      </c>
      <c r="D279" s="20">
        <f t="shared" ca="1" si="23"/>
        <v>63473</v>
      </c>
      <c r="E279" s="20" t="s">
        <v>256</v>
      </c>
    </row>
    <row r="280" spans="1:5" x14ac:dyDescent="0.15">
      <c r="A280" s="20">
        <f t="shared" ca="1" si="20"/>
        <v>105620</v>
      </c>
      <c r="B280" s="75">
        <f t="shared" ca="1" si="21"/>
        <v>66.87</v>
      </c>
      <c r="C280" s="75">
        <f t="shared" ca="1" si="22"/>
        <v>95.528571428571439</v>
      </c>
      <c r="D280" s="20">
        <f t="shared" ca="1" si="23"/>
        <v>88829</v>
      </c>
      <c r="E280" s="20" t="s">
        <v>256</v>
      </c>
    </row>
    <row r="281" spans="1:5" x14ac:dyDescent="0.15">
      <c r="A281" s="20">
        <f t="shared" ca="1" si="20"/>
        <v>152167</v>
      </c>
      <c r="B281" s="75">
        <f t="shared" ca="1" si="21"/>
        <v>57.87</v>
      </c>
      <c r="C281" s="75">
        <f t="shared" ca="1" si="22"/>
        <v>82.671428571428578</v>
      </c>
      <c r="D281" s="20">
        <f t="shared" ca="1" si="23"/>
        <v>37735</v>
      </c>
      <c r="E281" s="20" t="s">
        <v>256</v>
      </c>
    </row>
    <row r="282" spans="1:5" x14ac:dyDescent="0.15">
      <c r="A282" s="20">
        <f t="shared" ca="1" si="20"/>
        <v>166218</v>
      </c>
      <c r="B282" s="75">
        <f t="shared" ca="1" si="21"/>
        <v>68.87</v>
      </c>
      <c r="C282" s="75">
        <f t="shared" ca="1" si="22"/>
        <v>98.3857142857143</v>
      </c>
      <c r="D282" s="20">
        <f t="shared" ca="1" si="23"/>
        <v>65142</v>
      </c>
      <c r="E282" s="20" t="s">
        <v>256</v>
      </c>
    </row>
    <row r="283" spans="1:5" x14ac:dyDescent="0.15">
      <c r="A283" s="20">
        <f t="shared" ca="1" si="20"/>
        <v>129291</v>
      </c>
      <c r="B283" s="75">
        <f t="shared" ca="1" si="21"/>
        <v>59.87</v>
      </c>
      <c r="C283" s="75">
        <f t="shared" ca="1" si="22"/>
        <v>85.528571428571425</v>
      </c>
      <c r="D283" s="20">
        <f t="shared" ca="1" si="23"/>
        <v>34513</v>
      </c>
      <c r="E283" s="20" t="s">
        <v>256</v>
      </c>
    </row>
    <row r="284" spans="1:5" x14ac:dyDescent="0.15">
      <c r="A284" s="20">
        <f t="shared" ca="1" si="20"/>
        <v>109350</v>
      </c>
      <c r="B284" s="75">
        <f t="shared" ca="1" si="21"/>
        <v>29.87</v>
      </c>
      <c r="C284" s="75">
        <f t="shared" ca="1" si="22"/>
        <v>42.671428571428578</v>
      </c>
      <c r="D284" s="20">
        <f t="shared" ca="1" si="23"/>
        <v>95869</v>
      </c>
      <c r="E284" s="20" t="s">
        <v>256</v>
      </c>
    </row>
    <row r="285" spans="1:5" x14ac:dyDescent="0.15">
      <c r="A285" s="20">
        <f t="shared" ca="1" si="20"/>
        <v>166429</v>
      </c>
      <c r="B285" s="75">
        <f t="shared" ca="1" si="21"/>
        <v>59.87</v>
      </c>
      <c r="C285" s="75">
        <f t="shared" ca="1" si="22"/>
        <v>85.528571428571425</v>
      </c>
      <c r="D285" s="20">
        <f t="shared" ca="1" si="23"/>
        <v>11578</v>
      </c>
      <c r="E285" s="20" t="s">
        <v>256</v>
      </c>
    </row>
    <row r="286" spans="1:5" x14ac:dyDescent="0.15">
      <c r="A286" s="20">
        <f t="shared" ca="1" si="20"/>
        <v>190915</v>
      </c>
      <c r="B286" s="75">
        <f t="shared" ca="1" si="21"/>
        <v>44.87</v>
      </c>
      <c r="C286" s="75">
        <f t="shared" ca="1" si="22"/>
        <v>64.099999999999994</v>
      </c>
      <c r="D286" s="20">
        <f t="shared" ca="1" si="23"/>
        <v>63050</v>
      </c>
      <c r="E286" s="20" t="s">
        <v>256</v>
      </c>
    </row>
    <row r="287" spans="1:5" x14ac:dyDescent="0.15">
      <c r="A287" s="20">
        <f t="shared" ca="1" si="20"/>
        <v>131223</v>
      </c>
      <c r="B287" s="75">
        <f t="shared" ca="1" si="21"/>
        <v>51.87</v>
      </c>
      <c r="C287" s="75">
        <f t="shared" ca="1" si="22"/>
        <v>74.099999999999994</v>
      </c>
      <c r="D287" s="20">
        <f t="shared" ca="1" si="23"/>
        <v>40869</v>
      </c>
      <c r="E287" s="20" t="s">
        <v>256</v>
      </c>
    </row>
    <row r="288" spans="1:5" x14ac:dyDescent="0.15">
      <c r="A288" s="20">
        <f t="shared" ca="1" si="20"/>
        <v>111755</v>
      </c>
      <c r="B288" s="75">
        <f t="shared" ca="1" si="21"/>
        <v>47.87</v>
      </c>
      <c r="C288" s="75">
        <f t="shared" ca="1" si="22"/>
        <v>68.385714285714286</v>
      </c>
      <c r="D288" s="20">
        <f t="shared" ca="1" si="23"/>
        <v>57542</v>
      </c>
      <c r="E288" s="20" t="s">
        <v>256</v>
      </c>
    </row>
    <row r="289" spans="1:5" x14ac:dyDescent="0.15">
      <c r="A289" s="20">
        <f t="shared" ca="1" si="20"/>
        <v>170385</v>
      </c>
      <c r="B289" s="75">
        <f t="shared" ca="1" si="21"/>
        <v>38.869999999999997</v>
      </c>
      <c r="C289" s="75">
        <f t="shared" ca="1" si="22"/>
        <v>55.528571428571425</v>
      </c>
      <c r="D289" s="20">
        <f t="shared" ca="1" si="23"/>
        <v>48398</v>
      </c>
      <c r="E289" s="20" t="s">
        <v>256</v>
      </c>
    </row>
    <row r="290" spans="1:5" x14ac:dyDescent="0.15">
      <c r="A290" s="20">
        <f t="shared" ca="1" si="20"/>
        <v>190516</v>
      </c>
      <c r="B290" s="75">
        <f t="shared" ca="1" si="21"/>
        <v>38.869999999999997</v>
      </c>
      <c r="C290" s="75">
        <f t="shared" ca="1" si="22"/>
        <v>55.528571428571425</v>
      </c>
      <c r="D290" s="20">
        <f t="shared" ca="1" si="23"/>
        <v>79037</v>
      </c>
      <c r="E290" s="20" t="s">
        <v>256</v>
      </c>
    </row>
    <row r="291" spans="1:5" x14ac:dyDescent="0.15">
      <c r="A291" s="20">
        <f t="shared" ca="1" si="20"/>
        <v>156903</v>
      </c>
      <c r="B291" s="75">
        <f t="shared" ca="1" si="21"/>
        <v>24.87</v>
      </c>
      <c r="C291" s="75">
        <f t="shared" ca="1" si="22"/>
        <v>35.528571428571432</v>
      </c>
      <c r="D291" s="20">
        <f t="shared" ca="1" si="23"/>
        <v>79421</v>
      </c>
      <c r="E291" s="20" t="s">
        <v>256</v>
      </c>
    </row>
    <row r="292" spans="1:5" x14ac:dyDescent="0.15">
      <c r="A292" s="20">
        <f t="shared" ca="1" si="20"/>
        <v>143675</v>
      </c>
      <c r="B292" s="75">
        <f t="shared" ca="1" si="21"/>
        <v>72.87</v>
      </c>
      <c r="C292" s="75">
        <f t="shared" ca="1" si="22"/>
        <v>104.10000000000001</v>
      </c>
      <c r="D292" s="20">
        <f t="shared" ca="1" si="23"/>
        <v>42520</v>
      </c>
      <c r="E292" s="20" t="s">
        <v>256</v>
      </c>
    </row>
    <row r="293" spans="1:5" x14ac:dyDescent="0.15">
      <c r="A293" s="20">
        <f t="shared" ca="1" si="20"/>
        <v>168188</v>
      </c>
      <c r="B293" s="75">
        <f t="shared" ca="1" si="21"/>
        <v>41.87</v>
      </c>
      <c r="C293" s="75">
        <f t="shared" ca="1" si="22"/>
        <v>59.814285714285717</v>
      </c>
      <c r="D293" s="20">
        <f t="shared" ca="1" si="23"/>
        <v>52038</v>
      </c>
      <c r="E293" s="20" t="s">
        <v>256</v>
      </c>
    </row>
    <row r="294" spans="1:5" x14ac:dyDescent="0.15">
      <c r="A294" s="20">
        <f t="shared" ca="1" si="20"/>
        <v>104922</v>
      </c>
      <c r="B294" s="75">
        <f t="shared" ca="1" si="21"/>
        <v>69.87</v>
      </c>
      <c r="C294" s="75">
        <f t="shared" ca="1" si="22"/>
        <v>99.814285714285731</v>
      </c>
      <c r="D294" s="20">
        <f t="shared" ca="1" si="23"/>
        <v>80493</v>
      </c>
      <c r="E294" s="20" t="s">
        <v>256</v>
      </c>
    </row>
    <row r="295" spans="1:5" x14ac:dyDescent="0.15">
      <c r="A295" s="20">
        <f t="shared" ca="1" si="20"/>
        <v>184662</v>
      </c>
      <c r="B295" s="75">
        <f t="shared" ca="1" si="21"/>
        <v>43.87</v>
      </c>
      <c r="C295" s="75">
        <f t="shared" ca="1" si="22"/>
        <v>62.671428571428571</v>
      </c>
      <c r="D295" s="20">
        <f t="shared" ca="1" si="23"/>
        <v>99501</v>
      </c>
      <c r="E295" s="20" t="s">
        <v>256</v>
      </c>
    </row>
    <row r="296" spans="1:5" x14ac:dyDescent="0.15">
      <c r="A296" s="20">
        <f t="shared" ca="1" si="20"/>
        <v>181704</v>
      </c>
      <c r="B296" s="75">
        <f t="shared" ca="1" si="21"/>
        <v>43.87</v>
      </c>
      <c r="C296" s="75">
        <f t="shared" ca="1" si="22"/>
        <v>62.671428571428571</v>
      </c>
      <c r="D296" s="20">
        <f t="shared" ca="1" si="23"/>
        <v>28950</v>
      </c>
      <c r="E296" s="20" t="s">
        <v>256</v>
      </c>
    </row>
    <row r="297" spans="1:5" x14ac:dyDescent="0.15">
      <c r="A297" s="20">
        <f t="shared" ca="1" si="20"/>
        <v>198088</v>
      </c>
      <c r="B297" s="75">
        <f t="shared" ca="1" si="21"/>
        <v>37.869999999999997</v>
      </c>
      <c r="C297" s="75">
        <f t="shared" ca="1" si="22"/>
        <v>54.1</v>
      </c>
      <c r="D297" s="20">
        <f t="shared" ca="1" si="23"/>
        <v>32305</v>
      </c>
      <c r="E297" s="20" t="s">
        <v>256</v>
      </c>
    </row>
    <row r="298" spans="1:5" x14ac:dyDescent="0.15">
      <c r="A298" s="20">
        <f t="shared" ca="1" si="20"/>
        <v>147021</v>
      </c>
      <c r="B298" s="75">
        <f t="shared" ca="1" si="21"/>
        <v>55.87</v>
      </c>
      <c r="C298" s="75">
        <f t="shared" ca="1" si="22"/>
        <v>79.814285714285717</v>
      </c>
      <c r="D298" s="20">
        <f t="shared" ca="1" si="23"/>
        <v>30798</v>
      </c>
      <c r="E298" s="20" t="s">
        <v>256</v>
      </c>
    </row>
    <row r="299" spans="1:5" x14ac:dyDescent="0.15">
      <c r="A299" s="20">
        <f t="shared" ca="1" si="20"/>
        <v>146325</v>
      </c>
      <c r="B299" s="75">
        <f t="shared" ca="1" si="21"/>
        <v>67.87</v>
      </c>
      <c r="C299" s="75">
        <f t="shared" ca="1" si="22"/>
        <v>96.95714285714287</v>
      </c>
      <c r="D299" s="20">
        <f t="shared" ca="1" si="23"/>
        <v>89198</v>
      </c>
      <c r="E299" s="20" t="s">
        <v>256</v>
      </c>
    </row>
    <row r="300" spans="1:5" x14ac:dyDescent="0.15">
      <c r="A300" s="20">
        <f t="shared" ca="1" si="20"/>
        <v>119435</v>
      </c>
      <c r="B300" s="75">
        <f t="shared" ca="1" si="21"/>
        <v>49.87</v>
      </c>
      <c r="C300" s="75">
        <f t="shared" ca="1" si="22"/>
        <v>71.242857142857147</v>
      </c>
      <c r="D300" s="20">
        <f t="shared" ca="1" si="23"/>
        <v>16392</v>
      </c>
      <c r="E300" s="20" t="s">
        <v>256</v>
      </c>
    </row>
    <row r="301" spans="1:5" x14ac:dyDescent="0.15">
      <c r="A301" s="20">
        <f t="shared" ca="1" si="20"/>
        <v>125548</v>
      </c>
      <c r="B301" s="75">
        <f t="shared" ca="1" si="21"/>
        <v>49.87</v>
      </c>
      <c r="C301" s="75">
        <f t="shared" ca="1" si="22"/>
        <v>71.242857142857147</v>
      </c>
      <c r="D301" s="20">
        <f t="shared" ca="1" si="23"/>
        <v>68210</v>
      </c>
      <c r="E301" s="20" t="s">
        <v>256</v>
      </c>
    </row>
    <row r="302" spans="1:5" x14ac:dyDescent="0.15">
      <c r="A302" s="20">
        <f t="shared" ca="1" si="20"/>
        <v>113774</v>
      </c>
      <c r="B302" s="75">
        <f t="shared" ca="1" si="21"/>
        <v>34.869999999999997</v>
      </c>
      <c r="C302" s="75">
        <f t="shared" ca="1" si="22"/>
        <v>49.814285714285717</v>
      </c>
      <c r="D302" s="20">
        <f t="shared" ca="1" si="23"/>
        <v>75375</v>
      </c>
      <c r="E302" s="20" t="s">
        <v>256</v>
      </c>
    </row>
    <row r="303" spans="1:5" x14ac:dyDescent="0.15">
      <c r="A303" s="20">
        <f t="shared" ca="1" si="20"/>
        <v>121026</v>
      </c>
      <c r="B303" s="75">
        <f t="shared" ca="1" si="21"/>
        <v>66.87</v>
      </c>
      <c r="C303" s="75">
        <f t="shared" ca="1" si="22"/>
        <v>95.528571428571439</v>
      </c>
      <c r="D303" s="20">
        <f t="shared" ca="1" si="23"/>
        <v>36361</v>
      </c>
      <c r="E303" s="20" t="s">
        <v>256</v>
      </c>
    </row>
    <row r="304" spans="1:5" x14ac:dyDescent="0.15">
      <c r="A304" s="20">
        <f t="shared" ca="1" si="20"/>
        <v>149451</v>
      </c>
      <c r="B304" s="75">
        <f t="shared" ca="1" si="21"/>
        <v>63.87</v>
      </c>
      <c r="C304" s="75">
        <f t="shared" ca="1" si="22"/>
        <v>91.242857142857147</v>
      </c>
      <c r="D304" s="20">
        <f t="shared" ca="1" si="23"/>
        <v>57549</v>
      </c>
      <c r="E304" s="20" t="s">
        <v>256</v>
      </c>
    </row>
    <row r="305" spans="1:5" x14ac:dyDescent="0.15">
      <c r="A305" s="20">
        <f t="shared" ca="1" si="20"/>
        <v>148614</v>
      </c>
      <c r="B305" s="75">
        <f t="shared" ca="1" si="21"/>
        <v>67.87</v>
      </c>
      <c r="C305" s="75">
        <f t="shared" ca="1" si="22"/>
        <v>96.95714285714287</v>
      </c>
      <c r="D305" s="20">
        <f t="shared" ca="1" si="23"/>
        <v>44746</v>
      </c>
      <c r="E305" s="20" t="s">
        <v>256</v>
      </c>
    </row>
    <row r="306" spans="1:5" x14ac:dyDescent="0.15">
      <c r="A306" s="20">
        <f t="shared" ca="1" si="20"/>
        <v>194376</v>
      </c>
      <c r="B306" s="75">
        <f t="shared" ca="1" si="21"/>
        <v>40.869999999999997</v>
      </c>
      <c r="C306" s="75">
        <f t="shared" ca="1" si="22"/>
        <v>58.385714285714286</v>
      </c>
      <c r="D306" s="20">
        <f t="shared" ca="1" si="23"/>
        <v>60067</v>
      </c>
      <c r="E306" s="20" t="s">
        <v>256</v>
      </c>
    </row>
    <row r="307" spans="1:5" x14ac:dyDescent="0.15">
      <c r="A307" s="20">
        <f t="shared" ca="1" si="20"/>
        <v>126532</v>
      </c>
      <c r="B307" s="75">
        <f t="shared" ca="1" si="21"/>
        <v>53.87</v>
      </c>
      <c r="C307" s="75">
        <f t="shared" ca="1" si="22"/>
        <v>76.957142857142856</v>
      </c>
      <c r="D307" s="20">
        <f t="shared" ca="1" si="23"/>
        <v>65929</v>
      </c>
      <c r="E307" s="20" t="s">
        <v>256</v>
      </c>
    </row>
    <row r="308" spans="1:5" x14ac:dyDescent="0.15">
      <c r="A308" s="20">
        <f t="shared" ca="1" si="20"/>
        <v>176194</v>
      </c>
      <c r="B308" s="75">
        <f t="shared" ca="1" si="21"/>
        <v>71.87</v>
      </c>
      <c r="C308" s="75">
        <f t="shared" ca="1" si="22"/>
        <v>102.67142857142858</v>
      </c>
      <c r="D308" s="20">
        <f t="shared" ca="1" si="23"/>
        <v>78514</v>
      </c>
      <c r="E308" s="20" t="s">
        <v>256</v>
      </c>
    </row>
    <row r="309" spans="1:5" x14ac:dyDescent="0.15">
      <c r="A309" s="20">
        <f t="shared" ca="1" si="20"/>
        <v>127699</v>
      </c>
      <c r="B309" s="75">
        <f t="shared" ca="1" si="21"/>
        <v>60.87</v>
      </c>
      <c r="C309" s="75">
        <f t="shared" ca="1" si="22"/>
        <v>86.957142857142856</v>
      </c>
      <c r="D309" s="20">
        <f t="shared" ca="1" si="23"/>
        <v>27264</v>
      </c>
      <c r="E309" s="20" t="s">
        <v>256</v>
      </c>
    </row>
    <row r="310" spans="1:5" x14ac:dyDescent="0.15">
      <c r="A310" s="20">
        <f t="shared" ca="1" si="20"/>
        <v>136465</v>
      </c>
      <c r="B310" s="75">
        <f t="shared" ca="1" si="21"/>
        <v>63.87</v>
      </c>
      <c r="C310" s="75">
        <f t="shared" ca="1" si="22"/>
        <v>91.242857142857147</v>
      </c>
      <c r="D310" s="20">
        <f t="shared" ca="1" si="23"/>
        <v>27480</v>
      </c>
      <c r="E310" s="20" t="s">
        <v>256</v>
      </c>
    </row>
    <row r="311" spans="1:5" x14ac:dyDescent="0.15">
      <c r="A311" s="20">
        <f t="shared" ca="1" si="20"/>
        <v>193027</v>
      </c>
      <c r="B311" s="75">
        <f t="shared" ca="1" si="21"/>
        <v>46.87</v>
      </c>
      <c r="C311" s="75">
        <f t="shared" ca="1" si="22"/>
        <v>66.957142857142856</v>
      </c>
      <c r="D311" s="20">
        <f t="shared" ca="1" si="23"/>
        <v>19012</v>
      </c>
      <c r="E311" s="20" t="s">
        <v>256</v>
      </c>
    </row>
    <row r="312" spans="1:5" x14ac:dyDescent="0.15">
      <c r="A312" s="20">
        <f t="shared" ca="1" si="20"/>
        <v>159112</v>
      </c>
      <c r="B312" s="75">
        <f t="shared" ca="1" si="21"/>
        <v>33.869999999999997</v>
      </c>
      <c r="C312" s="75">
        <f t="shared" ca="1" si="22"/>
        <v>48.385714285714286</v>
      </c>
      <c r="D312" s="20">
        <f t="shared" ca="1" si="23"/>
        <v>94708</v>
      </c>
      <c r="E312" s="20" t="s">
        <v>256</v>
      </c>
    </row>
    <row r="313" spans="1:5" x14ac:dyDescent="0.15">
      <c r="A313" s="20">
        <f t="shared" ca="1" si="20"/>
        <v>169716</v>
      </c>
      <c r="B313" s="75">
        <f t="shared" ca="1" si="21"/>
        <v>37.869999999999997</v>
      </c>
      <c r="C313" s="75">
        <f t="shared" ca="1" si="22"/>
        <v>54.1</v>
      </c>
      <c r="D313" s="20">
        <f t="shared" ca="1" si="23"/>
        <v>77217</v>
      </c>
      <c r="E313" s="20" t="s">
        <v>256</v>
      </c>
    </row>
    <row r="314" spans="1:5" x14ac:dyDescent="0.15">
      <c r="A314" s="20">
        <f t="shared" ca="1" si="20"/>
        <v>188327</v>
      </c>
      <c r="B314" s="75">
        <f t="shared" ca="1" si="21"/>
        <v>30.87</v>
      </c>
      <c r="C314" s="75">
        <f t="shared" ca="1" si="22"/>
        <v>44.1</v>
      </c>
      <c r="D314" s="20">
        <f t="shared" ca="1" si="23"/>
        <v>58750</v>
      </c>
      <c r="E314" s="20" t="s">
        <v>256</v>
      </c>
    </row>
    <row r="315" spans="1:5" x14ac:dyDescent="0.15">
      <c r="A315" s="20">
        <f t="shared" ca="1" si="20"/>
        <v>124606</v>
      </c>
      <c r="B315" s="75">
        <f t="shared" ca="1" si="21"/>
        <v>28.87</v>
      </c>
      <c r="C315" s="75">
        <f t="shared" ca="1" si="22"/>
        <v>41.242857142857147</v>
      </c>
      <c r="D315" s="20">
        <f t="shared" ca="1" si="23"/>
        <v>10155</v>
      </c>
      <c r="E315" s="20" t="s">
        <v>256</v>
      </c>
    </row>
    <row r="316" spans="1:5" x14ac:dyDescent="0.15">
      <c r="A316" s="20">
        <f t="shared" ca="1" si="20"/>
        <v>141996</v>
      </c>
      <c r="B316" s="75">
        <f t="shared" ca="1" si="21"/>
        <v>71.87</v>
      </c>
      <c r="C316" s="75">
        <f t="shared" ca="1" si="22"/>
        <v>102.67142857142858</v>
      </c>
      <c r="D316" s="20">
        <f t="shared" ca="1" si="23"/>
        <v>11467</v>
      </c>
      <c r="E316" s="20" t="s">
        <v>256</v>
      </c>
    </row>
    <row r="317" spans="1:5" x14ac:dyDescent="0.15">
      <c r="A317" s="20">
        <f t="shared" ca="1" si="20"/>
        <v>167743</v>
      </c>
      <c r="B317" s="75">
        <f t="shared" ca="1" si="21"/>
        <v>74.87</v>
      </c>
      <c r="C317" s="75">
        <f t="shared" ca="1" si="22"/>
        <v>106.95714285714287</v>
      </c>
      <c r="D317" s="20">
        <f t="shared" ca="1" si="23"/>
        <v>55039</v>
      </c>
      <c r="E317" s="20" t="s">
        <v>256</v>
      </c>
    </row>
    <row r="318" spans="1:5" x14ac:dyDescent="0.15">
      <c r="A318" s="20">
        <f t="shared" ca="1" si="20"/>
        <v>114323</v>
      </c>
      <c r="B318" s="75">
        <f t="shared" ca="1" si="21"/>
        <v>74.87</v>
      </c>
      <c r="C318" s="75">
        <f t="shared" ca="1" si="22"/>
        <v>106.95714285714287</v>
      </c>
      <c r="D318" s="20">
        <f t="shared" ca="1" si="23"/>
        <v>90425</v>
      </c>
      <c r="E318" s="20" t="s">
        <v>256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zoomScale="78" zoomScaleNormal="100" workbookViewId="0">
      <selection activeCell="F9" sqref="F9"/>
    </sheetView>
  </sheetViews>
  <sheetFormatPr baseColWidth="10" defaultColWidth="8.83203125" defaultRowHeight="15" x14ac:dyDescent="0.2"/>
  <cols>
    <col min="1" max="5" width="16.5" style="2" customWidth="1"/>
    <col min="6" max="6" width="20.6640625" style="2" customWidth="1"/>
    <col min="7" max="11" width="16.5" customWidth="1"/>
    <col min="12" max="12" width="20.6640625" customWidth="1"/>
  </cols>
  <sheetData>
    <row r="1" spans="1:12" x14ac:dyDescent="0.2">
      <c r="A1" s="1" t="s">
        <v>0</v>
      </c>
    </row>
    <row r="3" spans="1:12" ht="32" x14ac:dyDescent="0.2">
      <c r="A3" s="3" t="s">
        <v>6</v>
      </c>
      <c r="F3" s="2" t="s">
        <v>13</v>
      </c>
      <c r="G3" s="4" t="s">
        <v>7</v>
      </c>
      <c r="L3" s="5" t="s">
        <v>14</v>
      </c>
    </row>
    <row r="4" spans="1:12" ht="96" x14ac:dyDescent="0.2">
      <c r="A4" s="2" t="s">
        <v>2</v>
      </c>
      <c r="B4" s="2" t="s">
        <v>1</v>
      </c>
      <c r="C4" s="2" t="s">
        <v>3</v>
      </c>
      <c r="D4" s="2" t="s">
        <v>4</v>
      </c>
      <c r="E4" s="2" t="s">
        <v>5</v>
      </c>
      <c r="G4" s="2" t="s">
        <v>8</v>
      </c>
      <c r="H4" s="2" t="s">
        <v>19</v>
      </c>
      <c r="I4" s="2" t="s">
        <v>11</v>
      </c>
      <c r="J4" s="2" t="s">
        <v>10</v>
      </c>
      <c r="K4" s="2" t="s">
        <v>12</v>
      </c>
    </row>
    <row r="5" spans="1:12" ht="64" x14ac:dyDescent="0.2">
      <c r="A5" s="2" t="s">
        <v>193</v>
      </c>
      <c r="B5" s="2" t="s">
        <v>199</v>
      </c>
      <c r="C5" s="2" t="s">
        <v>208</v>
      </c>
      <c r="D5" s="2" t="s">
        <v>237</v>
      </c>
      <c r="E5" s="2" t="s">
        <v>209</v>
      </c>
      <c r="G5" s="2" t="s">
        <v>18</v>
      </c>
      <c r="H5" s="2" t="s">
        <v>218</v>
      </c>
      <c r="I5" s="2" t="s">
        <v>223</v>
      </c>
      <c r="J5" s="2" t="s">
        <v>228</v>
      </c>
      <c r="K5" s="2" t="s">
        <v>20</v>
      </c>
    </row>
    <row r="6" spans="1:12" ht="64" x14ac:dyDescent="0.2">
      <c r="A6" s="2" t="s">
        <v>194</v>
      </c>
      <c r="B6" s="2" t="s">
        <v>200</v>
      </c>
      <c r="C6" s="2" t="s">
        <v>207</v>
      </c>
      <c r="D6" s="2" t="s">
        <v>238</v>
      </c>
      <c r="E6" s="2" t="s">
        <v>210</v>
      </c>
      <c r="G6" s="2" t="s">
        <v>214</v>
      </c>
      <c r="H6" s="2" t="s">
        <v>219</v>
      </c>
      <c r="I6" s="2" t="s">
        <v>224</v>
      </c>
      <c r="J6" s="2" t="s">
        <v>229</v>
      </c>
      <c r="K6" s="2" t="s">
        <v>233</v>
      </c>
    </row>
    <row r="7" spans="1:12" ht="80" x14ac:dyDescent="0.2">
      <c r="A7" s="2" t="s">
        <v>197</v>
      </c>
      <c r="B7" s="2" t="s">
        <v>201</v>
      </c>
      <c r="C7" s="2" t="s">
        <v>204</v>
      </c>
      <c r="D7" s="2" t="s">
        <v>239</v>
      </c>
      <c r="E7" s="2" t="s">
        <v>211</v>
      </c>
      <c r="G7" s="2" t="s">
        <v>215</v>
      </c>
      <c r="H7" s="2" t="s">
        <v>220</v>
      </c>
      <c r="I7" s="2" t="s">
        <v>225</v>
      </c>
      <c r="J7" s="2" t="s">
        <v>232</v>
      </c>
      <c r="K7" s="2" t="s">
        <v>234</v>
      </c>
    </row>
    <row r="8" spans="1:12" ht="80" x14ac:dyDescent="0.2">
      <c r="A8" s="2" t="s">
        <v>198</v>
      </c>
      <c r="B8" s="2" t="s">
        <v>202</v>
      </c>
      <c r="C8" s="2" t="s">
        <v>205</v>
      </c>
      <c r="D8" s="2" t="s">
        <v>240</v>
      </c>
      <c r="E8" s="2" t="s">
        <v>212</v>
      </c>
      <c r="G8" s="2" t="s">
        <v>217</v>
      </c>
      <c r="H8" s="2" t="s">
        <v>221</v>
      </c>
      <c r="I8" s="2" t="s">
        <v>226</v>
      </c>
      <c r="J8" s="2" t="s">
        <v>231</v>
      </c>
      <c r="K8" s="2" t="s">
        <v>235</v>
      </c>
    </row>
    <row r="9" spans="1:12" ht="64" x14ac:dyDescent="0.2">
      <c r="A9" s="2" t="s">
        <v>196</v>
      </c>
      <c r="B9" s="2" t="s">
        <v>203</v>
      </c>
      <c r="C9" s="2" t="s">
        <v>206</v>
      </c>
      <c r="D9" s="2" t="s">
        <v>241</v>
      </c>
      <c r="E9" s="2" t="s">
        <v>213</v>
      </c>
      <c r="G9" s="2" t="s">
        <v>216</v>
      </c>
      <c r="H9" s="2" t="s">
        <v>222</v>
      </c>
      <c r="I9" s="2" t="s">
        <v>227</v>
      </c>
      <c r="J9" s="2" t="s">
        <v>230</v>
      </c>
      <c r="K9" s="2" t="s">
        <v>236</v>
      </c>
    </row>
  </sheetData>
  <pageMargins left="0.7" right="0.7" top="0.75" bottom="0.75" header="0.3" footer="0.3"/>
  <pageSetup paperSize="9" orientation="portrait" horizontalDpi="300" verticalDpi="3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MG Strategy</vt:lpstr>
      <vt:lpstr>MG Strat - External Data Source</vt:lpstr>
      <vt:lpstr>Cost Analysis</vt:lpstr>
      <vt:lpstr>Negotiation Tool Box</vt:lpstr>
      <vt:lpstr>量增价跌Dummy Data</vt:lpstr>
      <vt:lpstr>Drop Down</vt:lpstr>
    </vt:vector>
  </TitlesOfParts>
  <Company>Deloitte Touche Tohmatsu Services,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JianyuZheng</dc:creator>
  <cp:lastModifiedBy>Microsoft Office User</cp:lastModifiedBy>
  <dcterms:created xsi:type="dcterms:W3CDTF">2020-07-20T13:16:27Z</dcterms:created>
  <dcterms:modified xsi:type="dcterms:W3CDTF">2020-07-30T07:48:31Z</dcterms:modified>
</cp:coreProperties>
</file>